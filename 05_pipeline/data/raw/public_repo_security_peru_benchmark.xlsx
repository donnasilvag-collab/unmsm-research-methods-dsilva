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gu\Downloads\"/>
    </mc:Choice>
  </mc:AlternateContent>
  <bookViews>
    <workbookView xWindow="0" yWindow="0" windowWidth="16635" windowHeight="4395"/>
  </bookViews>
  <sheets>
    <sheet name="LEEME" sheetId="1" r:id="rId1"/>
    <sheet name="Datos_repositorios" sheetId="2" r:id="rId2"/>
    <sheet name="OpenSSF_checks" sheetId="3" r:id="rId3"/>
    <sheet name="Diccionario" sheetId="4" r:id="rId4"/>
    <sheet name="Metodologia" sheetId="5" r:id="rId5"/>
    <sheet name="Analisis" sheetId="6" r:id="rId6"/>
    <sheet name="Graficos" sheetId="7" r:id="rId7"/>
    <sheet name="Limitaciones" sheetId="8" r:id="rId8"/>
    <sheet name="Trazabilidad" sheetId="9" r:id="rId9"/>
    <sheet name="Calidad" sheetId="10" r:id="rId10"/>
  </sheets>
  <calcPr calcId="162913"/>
</workbook>
</file>

<file path=xl/calcChain.xml><?xml version="1.0" encoding="utf-8"?>
<calcChain xmlns="http://schemas.openxmlformats.org/spreadsheetml/2006/main">
  <c r="AY49" i="2" l="1"/>
  <c r="AX49" i="2"/>
  <c r="AW49" i="2"/>
  <c r="AV49" i="2"/>
  <c r="AZ49" i="2" s="1"/>
  <c r="AY48" i="2"/>
  <c r="AX48" i="2"/>
  <c r="AW48" i="2"/>
  <c r="AV48" i="2"/>
  <c r="AZ48" i="2" s="1"/>
  <c r="AY47" i="2"/>
  <c r="AX47" i="2"/>
  <c r="AW47" i="2"/>
  <c r="AV47" i="2"/>
  <c r="AZ47" i="2" s="1"/>
  <c r="AY46" i="2"/>
  <c r="AX46" i="2"/>
  <c r="AW46" i="2"/>
  <c r="AV46" i="2"/>
  <c r="AZ46" i="2" s="1"/>
  <c r="AY45" i="2"/>
  <c r="AX45" i="2"/>
  <c r="AW45" i="2"/>
  <c r="AV45" i="2"/>
  <c r="AZ45" i="2" s="1"/>
  <c r="AY44" i="2"/>
  <c r="AX44" i="2"/>
  <c r="AW44" i="2"/>
  <c r="AV44" i="2"/>
  <c r="AZ44" i="2" s="1"/>
  <c r="AY43" i="2"/>
  <c r="AX43" i="2"/>
  <c r="AW43" i="2"/>
  <c r="AV43" i="2"/>
  <c r="AZ43" i="2" s="1"/>
  <c r="AY42" i="2"/>
  <c r="AX42" i="2"/>
  <c r="AW42" i="2"/>
  <c r="AV42" i="2"/>
  <c r="AZ42" i="2" s="1"/>
  <c r="AY41" i="2"/>
  <c r="AX41" i="2"/>
  <c r="AW41" i="2"/>
  <c r="AV41" i="2"/>
  <c r="AZ41" i="2" s="1"/>
  <c r="AY40" i="2"/>
  <c r="AX40" i="2"/>
  <c r="AW40" i="2"/>
  <c r="AV40" i="2"/>
  <c r="AZ40" i="2" s="1"/>
  <c r="AY39" i="2"/>
  <c r="AX39" i="2"/>
  <c r="AW39" i="2"/>
  <c r="AV39" i="2"/>
  <c r="AZ39" i="2" s="1"/>
  <c r="AY38" i="2"/>
  <c r="AX38" i="2"/>
  <c r="AW38" i="2"/>
  <c r="AV38" i="2"/>
  <c r="AZ38" i="2" s="1"/>
  <c r="AY37" i="2"/>
  <c r="AX37" i="2"/>
  <c r="AW37" i="2"/>
  <c r="AV37" i="2"/>
  <c r="AZ37" i="2" s="1"/>
  <c r="AY36" i="2"/>
  <c r="AX36" i="2"/>
  <c r="AW36" i="2"/>
  <c r="AV36" i="2"/>
  <c r="AZ36" i="2" s="1"/>
  <c r="AY35" i="2"/>
  <c r="AX35" i="2"/>
  <c r="AW35" i="2"/>
  <c r="AV35" i="2"/>
  <c r="AZ35" i="2" s="1"/>
  <c r="AY34" i="2"/>
  <c r="AX34" i="2"/>
  <c r="AW34" i="2"/>
  <c r="AV34" i="2"/>
  <c r="AZ34" i="2" s="1"/>
  <c r="AY33" i="2"/>
  <c r="AX33" i="2"/>
  <c r="AW33" i="2"/>
  <c r="AV33" i="2"/>
  <c r="AZ33" i="2" s="1"/>
  <c r="AY32" i="2"/>
  <c r="AX32" i="2"/>
  <c r="AW32" i="2"/>
  <c r="AV32" i="2"/>
  <c r="AZ32" i="2" s="1"/>
  <c r="AY31" i="2"/>
  <c r="AX31" i="2"/>
  <c r="AW31" i="2"/>
  <c r="AV31" i="2"/>
  <c r="AZ31" i="2" s="1"/>
  <c r="AY30" i="2"/>
  <c r="AX30" i="2"/>
  <c r="AW30" i="2"/>
  <c r="AV30" i="2"/>
  <c r="AZ30" i="2" s="1"/>
  <c r="AY29" i="2"/>
  <c r="AX29" i="2"/>
  <c r="AW29" i="2"/>
  <c r="AV29" i="2"/>
  <c r="AZ29" i="2" s="1"/>
  <c r="AY28" i="2"/>
  <c r="AX28" i="2"/>
  <c r="AW28" i="2"/>
  <c r="AV28" i="2"/>
  <c r="AZ28" i="2" s="1"/>
  <c r="AY27" i="2"/>
  <c r="AX27" i="2"/>
  <c r="AW27" i="2"/>
  <c r="AV27" i="2"/>
  <c r="AZ27" i="2" s="1"/>
  <c r="AY26" i="2"/>
  <c r="AX26" i="2"/>
  <c r="AW26" i="2"/>
  <c r="AV26" i="2"/>
  <c r="AZ26" i="2" s="1"/>
  <c r="AY25" i="2"/>
  <c r="AX25" i="2"/>
  <c r="AW25" i="2"/>
  <c r="AV25" i="2"/>
  <c r="AZ25" i="2" s="1"/>
  <c r="AY24" i="2"/>
  <c r="AX24" i="2"/>
  <c r="AW24" i="2"/>
  <c r="AV24" i="2"/>
  <c r="AZ24" i="2" s="1"/>
  <c r="AY23" i="2"/>
  <c r="AX23" i="2"/>
  <c r="AW23" i="2"/>
  <c r="AV23" i="2"/>
  <c r="AZ23" i="2" s="1"/>
  <c r="AY22" i="2"/>
  <c r="AX22" i="2"/>
  <c r="AW22" i="2"/>
  <c r="AV22" i="2"/>
  <c r="AZ22" i="2" s="1"/>
  <c r="AY21" i="2"/>
  <c r="AX21" i="2"/>
  <c r="AW21" i="2"/>
  <c r="AV21" i="2"/>
  <c r="AZ21" i="2" s="1"/>
  <c r="AY20" i="2"/>
  <c r="AX20" i="2"/>
  <c r="AW20" i="2"/>
  <c r="AV20" i="2"/>
  <c r="AZ20" i="2" s="1"/>
  <c r="AY19" i="2"/>
  <c r="AX19" i="2"/>
  <c r="AW19" i="2"/>
  <c r="AV19" i="2"/>
  <c r="AZ19" i="2" s="1"/>
  <c r="AY18" i="2"/>
  <c r="AX18" i="2"/>
  <c r="AW18" i="2"/>
  <c r="AV18" i="2"/>
  <c r="AZ18" i="2" s="1"/>
  <c r="AY17" i="2"/>
  <c r="AX17" i="2"/>
  <c r="AW17" i="2"/>
  <c r="AV17" i="2"/>
  <c r="AZ17" i="2" s="1"/>
  <c r="AY16" i="2"/>
  <c r="AX16" i="2"/>
  <c r="AW16" i="2"/>
  <c r="AV16" i="2"/>
  <c r="AZ16" i="2" s="1"/>
  <c r="AY15" i="2"/>
  <c r="AX15" i="2"/>
  <c r="AW15" i="2"/>
  <c r="AV15" i="2"/>
  <c r="AZ15" i="2" s="1"/>
  <c r="AY14" i="2"/>
  <c r="AX14" i="2"/>
  <c r="AW14" i="2"/>
  <c r="AV14" i="2"/>
  <c r="AZ14" i="2" s="1"/>
  <c r="AY13" i="2"/>
  <c r="AX13" i="2"/>
  <c r="AW13" i="2"/>
  <c r="AV13" i="2"/>
  <c r="AZ13" i="2" s="1"/>
  <c r="AY12" i="2"/>
  <c r="AX12" i="2"/>
  <c r="AW12" i="2"/>
  <c r="AV12" i="2"/>
  <c r="AZ12" i="2" s="1"/>
  <c r="AY11" i="2"/>
  <c r="AX11" i="2"/>
  <c r="AW11" i="2"/>
  <c r="AV11" i="2"/>
  <c r="AZ11" i="2" s="1"/>
  <c r="AY10" i="2"/>
  <c r="AX10" i="2"/>
  <c r="AW10" i="2"/>
  <c r="AV10" i="2"/>
  <c r="AZ10" i="2" s="1"/>
  <c r="AY9" i="2"/>
  <c r="AX9" i="2"/>
  <c r="AW9" i="2"/>
  <c r="AV9" i="2"/>
  <c r="AZ9" i="2" s="1"/>
  <c r="AY8" i="2"/>
  <c r="AX8" i="2"/>
  <c r="AW8" i="2"/>
  <c r="AV8" i="2"/>
  <c r="AZ8" i="2" s="1"/>
  <c r="AY7" i="2"/>
  <c r="AX7" i="2"/>
  <c r="AW7" i="2"/>
  <c r="AV7" i="2"/>
  <c r="AZ7" i="2" s="1"/>
  <c r="AY6" i="2"/>
  <c r="AX6" i="2"/>
  <c r="AW6" i="2"/>
  <c r="AV6" i="2"/>
  <c r="AZ6" i="2" s="1"/>
  <c r="AY5" i="2"/>
  <c r="AX5" i="2"/>
  <c r="AW5" i="2"/>
  <c r="AV5" i="2"/>
  <c r="AZ5" i="2" s="1"/>
  <c r="AY4" i="2"/>
  <c r="AX4" i="2"/>
  <c r="AW4" i="2"/>
  <c r="AV4" i="2"/>
  <c r="AZ4" i="2" s="1"/>
  <c r="AY3" i="2"/>
  <c r="AX3" i="2"/>
  <c r="AW3" i="2"/>
  <c r="AV3" i="2"/>
  <c r="AZ3" i="2" s="1"/>
  <c r="AY2" i="2"/>
  <c r="AX2" i="2"/>
  <c r="AW2" i="2"/>
  <c r="AV2" i="2"/>
  <c r="AZ2" i="2" s="1"/>
</calcChain>
</file>

<file path=xl/sharedStrings.xml><?xml version="1.0" encoding="utf-8"?>
<sst xmlns="http://schemas.openxmlformats.org/spreadsheetml/2006/main" count="3607" uniqueCount="909">
  <si>
    <t>BASE REAL DE FUENTE ABIERTA — PERÚ Y BENCHMARK INTERNACIONAL</t>
  </si>
  <si>
    <t>ALCANCE: 48 repositorios públicos reales (24 vinculados a organizaciones cuyo perfil público declara Perú y 24 proyectos internacionales de referencia). La unidad de análisis es el repositorio público, no la empresa ni sus trabajadores. Los indicadores son proxies observables y no demuestran por sí solos la madurez interna de gestión de riesgos.</t>
  </si>
  <si>
    <t>Elemento</t>
  </si>
  <si>
    <t>Detalle</t>
  </si>
  <si>
    <t>Pregunta complementaria</t>
  </si>
  <si>
    <t>¿Qué señales públicas de seguridad, protección del código y trazabilidad se observan en repositorios vinculados a organizaciones peruanas y cómo se comparan descriptivamente con un benchmark internacional?</t>
  </si>
  <si>
    <t>Muestra</t>
  </si>
  <si>
    <t>48 repositorios: 24 Perú + 24 benchmark internacional.</t>
  </si>
  <si>
    <t>Organizaciones Perú</t>
  </si>
  <si>
    <t>9 perfiles de organización; máximo de cuatro repositorios por organización cuando fue posible.</t>
  </si>
  <si>
    <t>Fecha de extracción</t>
  </si>
  <si>
    <t>2026-07-31 19:28:08 (UTC-05:00)</t>
  </si>
  <si>
    <t>Fecha del análisis Git</t>
  </si>
  <si>
    <t>2026-07-31 19:40:45 (UTC-05:00)</t>
  </si>
  <si>
    <t>Fuentes</t>
  </si>
  <si>
    <t>GitHub público, árbol Git y últimos 100 commits; OpenSSF Scorecard cuando existe evaluación precalculada.</t>
  </si>
  <si>
    <t>Datos reales</t>
  </si>
  <si>
    <t>Sí: URLs, metadatos, archivos de configuración, workflows y commits observados en repositorios públicos.</t>
  </si>
  <si>
    <t>Inferencia</t>
  </si>
  <si>
    <t>Descriptiva y exploratoria. No es una muestra probabilística ni permite inferir causalidad o cumplimiento empresarial.</t>
  </si>
  <si>
    <t>Scorecard disponible</t>
  </si>
  <si>
    <t>19/48; se conserva como fuente complementaria y no se imputa.</t>
  </si>
  <si>
    <t>Privacidad</t>
  </si>
  <si>
    <t>No se exportan nombres, correos ni identidades de contribuidores; solo conteos agregados.</t>
  </si>
  <si>
    <t>Repositorio metodológico</t>
  </si>
  <si>
    <t>https://github.com/donnasilvag-collab/unmsm-research-methods-dsilva/tree/main</t>
  </si>
  <si>
    <t>Versión</t>
  </si>
  <si>
    <t>1.0 — extracción reproducible fechada</t>
  </si>
  <si>
    <t>Lectura recomendada: revise Metodologia para comprender el muestreo y las fórmulas; Datos_repositorios para auditar cada URL y observación; OpenSSF_checks para las evaluaciones externas disponibles; Analisis y Graficos para la comparación; Limitaciones antes de citar cualquier resultado; Trazabilidad y Calidad para verificar procedencia, estados y completitud.</t>
  </si>
  <si>
    <t>record_id</t>
  </si>
  <si>
    <t>stratum</t>
  </si>
  <si>
    <t>country</t>
  </si>
  <si>
    <t>repository</t>
  </si>
  <si>
    <t>owner</t>
  </si>
  <si>
    <t>repository_name</t>
  </si>
  <si>
    <t>repository_url</t>
  </si>
  <si>
    <t>organization_url</t>
  </si>
  <si>
    <t>location_evidence</t>
  </si>
  <si>
    <t>extraction_datetime_lima</t>
  </si>
  <si>
    <t>git_analysis_datetime_lima</t>
  </si>
  <si>
    <t>github_api_url</t>
  </si>
  <si>
    <t>scorecard_api_url</t>
  </si>
  <si>
    <t>github_http_status</t>
  </si>
  <si>
    <t>scorecard_http_status</t>
  </si>
  <si>
    <t>scorecard_date</t>
  </si>
  <si>
    <t>scorecard_overall</t>
  </si>
  <si>
    <t>language</t>
  </si>
  <si>
    <t>license</t>
  </si>
  <si>
    <t>created_at</t>
  </si>
  <si>
    <t>pushed_at</t>
  </si>
  <si>
    <t>size_kb</t>
  </si>
  <si>
    <t>stars</t>
  </si>
  <si>
    <t>forks</t>
  </si>
  <si>
    <t>open_issues</t>
  </si>
  <si>
    <t>tree_file_count</t>
  </si>
  <si>
    <t>security_policy_present</t>
  </si>
  <si>
    <t>codeowners_present</t>
  </si>
  <si>
    <t>dependency_update_present</t>
  </si>
  <si>
    <t>ci_workflow_count</t>
  </si>
  <si>
    <t>sast_workflow_present</t>
  </si>
  <si>
    <t>secret_scanning_workflow_present</t>
  </si>
  <si>
    <t>test_workflow_present</t>
  </si>
  <si>
    <t>release_workflow_present</t>
  </si>
  <si>
    <t>explicit_restricted_permissions</t>
  </si>
  <si>
    <t>explicit_broad_write_permissions</t>
  </si>
  <si>
    <t>workflow_permission_score</t>
  </si>
  <si>
    <t>remote_actions_count</t>
  </si>
  <si>
    <t>pinned_actions_count</t>
  </si>
  <si>
    <t>pinned_actions_ratio</t>
  </si>
  <si>
    <t>commits_analyzed</t>
  </si>
  <si>
    <t>commits_last_90d</t>
  </si>
  <si>
    <t>contributors_last_100_commits</t>
  </si>
  <si>
    <t>conventional_commit_ratio</t>
  </si>
  <si>
    <t>issue_reference_ratio</t>
  </si>
  <si>
    <t>merge_commit_ratio</t>
  </si>
  <si>
    <t>signed_commit_ratio_detected</t>
  </si>
  <si>
    <t>risk_governance_observed</t>
  </si>
  <si>
    <t>access_control_observed</t>
  </si>
  <si>
    <t>source_code_protection_observed</t>
  </si>
  <si>
    <t>traceability_observed</t>
  </si>
  <si>
    <t>observed_overall</t>
  </si>
  <si>
    <t>available_scorecard_checks</t>
  </si>
  <si>
    <t>total_returned_checks</t>
  </si>
  <si>
    <t>git_clone_status</t>
  </si>
  <si>
    <t>Peru</t>
  </si>
  <si>
    <t>edgefirst-dev/crud-routes</t>
  </si>
  <si>
    <t>edgefirst-dev</t>
  </si>
  <si>
    <t>crud-routes</t>
  </si>
  <si>
    <t>https://github.com/edgefirst-dev/crud-routes</t>
  </si>
  <si>
    <t>https://github.com/edgefirst-dev</t>
  </si>
  <si>
    <t>GitHub organization profile: Peru</t>
  </si>
  <si>
    <t>https://api.github.com/repos/edgefirst-dev/crud-routes</t>
  </si>
  <si>
    <t>https://api.scorecard.dev/projects/github.com/edgefirst-dev/crud-routes</t>
  </si>
  <si>
    <t>TypeScript</t>
  </si>
  <si>
    <t>MIT</t>
  </si>
  <si>
    <t>ok</t>
  </si>
  <si>
    <t>edgefirst-dev/api-client</t>
  </si>
  <si>
    <t>api-client</t>
  </si>
  <si>
    <t>https://github.com/edgefirst-dev/api-client</t>
  </si>
  <si>
    <t>https://api.github.com/repos/edgefirst-dev/api-client</t>
  </si>
  <si>
    <t>https://api.scorecard.dev/projects/github.com/edgefirst-dev/api-client</t>
  </si>
  <si>
    <t>edgefirst-dev/r2-file-storage</t>
  </si>
  <si>
    <t>r2-file-storage</t>
  </si>
  <si>
    <t>https://github.com/edgefirst-dev/r2-file-storage</t>
  </si>
  <si>
    <t>https://api.github.com/repos/edgefirst-dev/r2-file-storage</t>
  </si>
  <si>
    <t>https://api.scorecard.dev/projects/github.com/edgefirst-dev/r2-file-storage</t>
  </si>
  <si>
    <t>edgefirst-dev/starter</t>
  </si>
  <si>
    <t>starter</t>
  </si>
  <si>
    <t>https://github.com/edgefirst-dev/starter</t>
  </si>
  <si>
    <t>https://api.github.com/repos/edgefirst-dev/starter</t>
  </si>
  <si>
    <t>https://api.scorecard.dev/projects/github.com/edgefirst-dev/starter</t>
  </si>
  <si>
    <t>GasperSoft/GasperSoft.SUNAT</t>
  </si>
  <si>
    <t>GasperSoft</t>
  </si>
  <si>
    <t>GasperSoft.SUNAT</t>
  </si>
  <si>
    <t>https://github.com/GasperSoft/GasperSoft.SUNAT</t>
  </si>
  <si>
    <t>https://github.com/GasperSoft</t>
  </si>
  <si>
    <t>https://api.github.com/repos/GasperSoft/GasperSoft.SUNAT</t>
  </si>
  <si>
    <t>https://api.scorecard.dev/projects/github.com/GasperSoft/GasperSoft.SUNAT</t>
  </si>
  <si>
    <t>C#</t>
  </si>
  <si>
    <t>GasperSoft/ValidarFirmaXml</t>
  </si>
  <si>
    <t>ValidarFirmaXml</t>
  </si>
  <si>
    <t>https://github.com/GasperSoft/ValidarFirmaXml</t>
  </si>
  <si>
    <t>https://api.github.com/repos/GasperSoft/ValidarFirmaXml</t>
  </si>
  <si>
    <t>https://api.scorecard.dev/projects/github.com/GasperSoft/ValidarFirmaXml</t>
  </si>
  <si>
    <t>bitmakerla/estela</t>
  </si>
  <si>
    <t>bitmakerla</t>
  </si>
  <si>
    <t>estela</t>
  </si>
  <si>
    <t>https://github.com/bitmakerla/estela</t>
  </si>
  <si>
    <t>https://github.com/bitmakerla</t>
  </si>
  <si>
    <t>GitHub organization profile: Arequipa, Peru</t>
  </si>
  <si>
    <t>https://api.github.com/repos/bitmakerla/estela</t>
  </si>
  <si>
    <t>https://api.scorecard.dev/projects/github.com/bitmakerla/estela</t>
  </si>
  <si>
    <t>bitmakerla/estela-entrypoint</t>
  </si>
  <si>
    <t>estela-entrypoint</t>
  </si>
  <si>
    <t>https://github.com/bitmakerla/estela-entrypoint</t>
  </si>
  <si>
    <t>https://api.github.com/repos/bitmakerla/estela-entrypoint</t>
  </si>
  <si>
    <t>https://api.scorecard.dev/projects/github.com/bitmakerla/estela-entrypoint</t>
  </si>
  <si>
    <t>Python</t>
  </si>
  <si>
    <t>bitmakerla/estela-cli</t>
  </si>
  <si>
    <t>estela-cli</t>
  </si>
  <si>
    <t>https://github.com/bitmakerla/estela-cli</t>
  </si>
  <si>
    <t>https://api.github.com/repos/bitmakerla/estela-cli</t>
  </si>
  <si>
    <t>https://api.scorecard.dev/projects/github.com/bitmakerla/estela-cli</t>
  </si>
  <si>
    <t>bitmakerla/estela-requests</t>
  </si>
  <si>
    <t>estela-requests</t>
  </si>
  <si>
    <t>https://github.com/bitmakerla/estela-requests</t>
  </si>
  <si>
    <t>https://api.github.com/repos/bitmakerla/estela-requests</t>
  </si>
  <si>
    <t>https://api.scorecard.dev/projects/github.com/bitmakerla/estela-requests</t>
  </si>
  <si>
    <t>hadenlabs/zsh-core</t>
  </si>
  <si>
    <t>hadenlabs</t>
  </si>
  <si>
    <t>zsh-core</t>
  </si>
  <si>
    <t>https://github.com/hadenlabs/zsh-core</t>
  </si>
  <si>
    <t>https://github.com/hadenlabs</t>
  </si>
  <si>
    <t>GitHub organization profile: Lima, Peru</t>
  </si>
  <si>
    <t>https://api.github.com/repos/hadenlabs/zsh-core</t>
  </si>
  <si>
    <t>https://api.scorecard.dev/projects/github.com/hadenlabs/zsh-core</t>
  </si>
  <si>
    <t>Shell</t>
  </si>
  <si>
    <t>LGPL-3.0</t>
  </si>
  <si>
    <t>hadenlabs/tasks</t>
  </si>
  <si>
    <t>tasks</t>
  </si>
  <si>
    <t>https://github.com/hadenlabs/tasks</t>
  </si>
  <si>
    <t>https://api.github.com/repos/hadenlabs/tasks</t>
  </si>
  <si>
    <t>https://api.scorecard.dev/projects/github.com/hadenlabs/tasks</t>
  </si>
  <si>
    <t>hadenlabs/terraform-github-repository</t>
  </si>
  <si>
    <t>terraform-github-repository</t>
  </si>
  <si>
    <t>https://github.com/hadenlabs/terraform-github-repository</t>
  </si>
  <si>
    <t>https://api.github.com/repos/hadenlabs/terraform-github-repository</t>
  </si>
  <si>
    <t>https://api.scorecard.dev/projects/github.com/hadenlabs/terraform-github-repository</t>
  </si>
  <si>
    <t>HCL</t>
  </si>
  <si>
    <t>hadenlabs/pre-commit-hooks</t>
  </si>
  <si>
    <t>pre-commit-hooks</t>
  </si>
  <si>
    <t>https://github.com/hadenlabs/pre-commit-hooks</t>
  </si>
  <si>
    <t>https://api.github.com/repos/hadenlabs/pre-commit-hooks</t>
  </si>
  <si>
    <t>https://api.scorecard.dev/projects/github.com/hadenlabs/pre-commit-hooks</t>
  </si>
  <si>
    <t>Go</t>
  </si>
  <si>
    <t>FooTalentGroup/konfex-web-app</t>
  </si>
  <si>
    <t>FooTalentGroup</t>
  </si>
  <si>
    <t>konfex-web-app</t>
  </si>
  <si>
    <t>https://github.com/FooTalentGroup/konfex-web-app</t>
  </si>
  <si>
    <t>https://github.com/FooTalentGroup</t>
  </si>
  <si>
    <t>https://api.github.com/repos/FooTalentGroup/konfex-web-app</t>
  </si>
  <si>
    <t>https://api.scorecard.dev/projects/github.com/FooTalentGroup/konfex-web-app</t>
  </si>
  <si>
    <t>FooTalentGroup/variable-x</t>
  </si>
  <si>
    <t>variable-x</t>
  </si>
  <si>
    <t>https://github.com/FooTalentGroup/variable-x</t>
  </si>
  <si>
    <t>https://api.github.com/repos/FooTalentGroup/variable-x</t>
  </si>
  <si>
    <t>https://api.scorecard.dev/projects/github.com/FooTalentGroup/variable-x</t>
  </si>
  <si>
    <t>FooTalentGroup/AURA</t>
  </si>
  <si>
    <t>AURA</t>
  </si>
  <si>
    <t>https://github.com/FooTalentGroup/AURA</t>
  </si>
  <si>
    <t>https://api.github.com/repos/FooTalentGroup/AURA</t>
  </si>
  <si>
    <t>https://api.scorecard.dev/projects/github.com/FooTalentGroup/AURA</t>
  </si>
  <si>
    <t>Java</t>
  </si>
  <si>
    <t>GeoCompas/rice_fields</t>
  </si>
  <si>
    <t>GeoCompas</t>
  </si>
  <si>
    <t>rice_fields</t>
  </si>
  <si>
    <t>https://github.com/GeoCompas/rice_fields</t>
  </si>
  <si>
    <t>https://github.com/GeoCompas</t>
  </si>
  <si>
    <t>https://api.github.com/repos/GeoCompas/rice_fields</t>
  </si>
  <si>
    <t>https://api.scorecard.dev/projects/github.com/GeoCompas/rice_fields</t>
  </si>
  <si>
    <t>GeoCompas/samgeo-service</t>
  </si>
  <si>
    <t>samgeo-service</t>
  </si>
  <si>
    <t>https://github.com/GeoCompas/samgeo-service</t>
  </si>
  <si>
    <t>https://api.github.com/repos/GeoCompas/samgeo-service</t>
  </si>
  <si>
    <t>https://api.scorecard.dev/projects/github.com/GeoCompas/samgeo-service</t>
  </si>
  <si>
    <t>BelityApp/google_maps_place_picker_mb</t>
  </si>
  <si>
    <t>BelityApp</t>
  </si>
  <si>
    <t>google_maps_place_picker_mb</t>
  </si>
  <si>
    <t>https://github.com/BelityApp/google_maps_place_picker_mb</t>
  </si>
  <si>
    <t>https://github.com/BelityApp</t>
  </si>
  <si>
    <t>https://api.github.com/repos/BelityApp/google_maps_place_picker_mb</t>
  </si>
  <si>
    <t>https://api.scorecard.dev/projects/github.com/BelityApp/google_maps_place_picker_mb</t>
  </si>
  <si>
    <t>Dart</t>
  </si>
  <si>
    <t>BelityApp/dio-http-cache</t>
  </si>
  <si>
    <t>dio-http-cache</t>
  </si>
  <si>
    <t>https://github.com/BelityApp/dio-http-cache</t>
  </si>
  <si>
    <t>https://api.github.com/repos/BelityApp/dio-http-cache</t>
  </si>
  <si>
    <t>https://api.scorecard.dev/projects/github.com/BelityApp/dio-http-cache</t>
  </si>
  <si>
    <t>Apache-2.0</t>
  </si>
  <si>
    <t>Fromsolvers/ec2-github-runner</t>
  </si>
  <si>
    <t>Fromsolvers</t>
  </si>
  <si>
    <t>ec2-github-runner</t>
  </si>
  <si>
    <t>https://github.com/Fromsolvers/ec2-github-runner</t>
  </si>
  <si>
    <t>https://github.com/Fromsolvers</t>
  </si>
  <si>
    <t>https://api.github.com/repos/Fromsolvers/ec2-github-runner</t>
  </si>
  <si>
    <t>https://api.scorecard.dev/projects/github.com/Fromsolvers/ec2-github-runner</t>
  </si>
  <si>
    <t>JavaScript</t>
  </si>
  <si>
    <t>plexoapp/plexo</t>
  </si>
  <si>
    <t>plexoapp</t>
  </si>
  <si>
    <t>plexo</t>
  </si>
  <si>
    <t>https://github.com/plexoapp/plexo</t>
  </si>
  <si>
    <t>https://github.com/plexoapp</t>
  </si>
  <si>
    <t>https://api.github.com/repos/plexoapp/plexo</t>
  </si>
  <si>
    <t>https://api.scorecard.dev/projects/github.com/plexoapp/plexo</t>
  </si>
  <si>
    <t>Rust</t>
  </si>
  <si>
    <t>plexoapp/plexo-sdk</t>
  </si>
  <si>
    <t>plexo-sdk</t>
  </si>
  <si>
    <t>https://github.com/plexoapp/plexo-sdk</t>
  </si>
  <si>
    <t>https://api.github.com/repos/plexoapp/plexo-sdk</t>
  </si>
  <si>
    <t>https://api.scorecard.dev/projects/github.com/plexoapp/plexo-sdk</t>
  </si>
  <si>
    <t>International benchmark</t>
  </si>
  <si>
    <t>International</t>
  </si>
  <si>
    <t>honojs/hono</t>
  </si>
  <si>
    <t>honojs</t>
  </si>
  <si>
    <t>hono</t>
  </si>
  <si>
    <t>https://github.com/honojs/hono</t>
  </si>
  <si>
    <t>https://github.com/honojs</t>
  </si>
  <si>
    <t>Benchmark repository; geography not used as an organizational claim</t>
  </si>
  <si>
    <t>https://api.github.com/repos/honojs/hono</t>
  </si>
  <si>
    <t>https://api.scorecard.dev/projects/github.com/honojs/hono</t>
  </si>
  <si>
    <t>trpc/trpc</t>
  </si>
  <si>
    <t>trpc</t>
  </si>
  <si>
    <t>https://github.com/trpc/trpc</t>
  </si>
  <si>
    <t>https://github.com/trpc</t>
  </si>
  <si>
    <t>https://api.github.com/repos/trpc/trpc</t>
  </si>
  <si>
    <t>https://api.scorecard.dev/projects/github.com/trpc/trpc</t>
  </si>
  <si>
    <t>unjs/ofetch</t>
  </si>
  <si>
    <t>unjs</t>
  </si>
  <si>
    <t>ofetch</t>
  </si>
  <si>
    <t>https://github.com/unjs/ofetch</t>
  </si>
  <si>
    <t>https://github.com/unjs</t>
  </si>
  <si>
    <t>https://api.github.com/repos/unjs/ofetch</t>
  </si>
  <si>
    <t>https://api.scorecard.dev/projects/github.com/unjs/ofetch</t>
  </si>
  <si>
    <t>reduxjs/redux-toolkit</t>
  </si>
  <si>
    <t>reduxjs</t>
  </si>
  <si>
    <t>redux-toolkit</t>
  </si>
  <si>
    <t>https://github.com/reduxjs/redux-toolkit</t>
  </si>
  <si>
    <t>https://github.com/reduxjs</t>
  </si>
  <si>
    <t>https://api.github.com/repos/reduxjs/redux-toolkit</t>
  </si>
  <si>
    <t>https://api.scorecard.dev/projects/github.com/reduxjs/redux-toolkit</t>
  </si>
  <si>
    <t>colinhacks/zod</t>
  </si>
  <si>
    <t>colinhacks</t>
  </si>
  <si>
    <t>zod</t>
  </si>
  <si>
    <t>https://github.com/colinhacks/zod</t>
  </si>
  <si>
    <t>https://github.com/colinhacks</t>
  </si>
  <si>
    <t>https://api.github.com/repos/colinhacks/zod</t>
  </si>
  <si>
    <t>https://api.scorecard.dev/projects/github.com/colinhacks/zod</t>
  </si>
  <si>
    <t>vitejs/vite</t>
  </si>
  <si>
    <t>vitejs</t>
  </si>
  <si>
    <t>vite</t>
  </si>
  <si>
    <t>https://github.com/vitejs/vite</t>
  </si>
  <si>
    <t>https://github.com/vitejs</t>
  </si>
  <si>
    <t>https://api.github.com/repos/vitejs/vite</t>
  </si>
  <si>
    <t>https://api.scorecard.dev/projects/github.com/vitejs/vite</t>
  </si>
  <si>
    <t>nestjs/nest</t>
  </si>
  <si>
    <t>nestjs</t>
  </si>
  <si>
    <t>nest</t>
  </si>
  <si>
    <t>https://github.com/nestjs/nest</t>
  </si>
  <si>
    <t>https://github.com/nestjs</t>
  </si>
  <si>
    <t>https://api.github.com/repos/nestjs/nest</t>
  </si>
  <si>
    <t>https://api.scorecard.dev/projects/github.com/nestjs/nest</t>
  </si>
  <si>
    <t>actions/checkout</t>
  </si>
  <si>
    <t>actions</t>
  </si>
  <si>
    <t>checkout</t>
  </si>
  <si>
    <t>https://github.com/actions/checkout</t>
  </si>
  <si>
    <t>https://github.com/actions</t>
  </si>
  <si>
    <t>https://api.github.com/repos/actions/checkout</t>
  </si>
  <si>
    <t>https://api.scorecard.dev/projects/github.com/actions/checkout</t>
  </si>
  <si>
    <t>pallets/flask</t>
  </si>
  <si>
    <t>pallets</t>
  </si>
  <si>
    <t>flask</t>
  </si>
  <si>
    <t>https://github.com/pallets/flask</t>
  </si>
  <si>
    <t>https://github.com/pallets</t>
  </si>
  <si>
    <t>https://api.github.com/repos/pallets/flask</t>
  </si>
  <si>
    <t>https://api.scorecard.dev/projects/github.com/pallets/flask</t>
  </si>
  <si>
    <t>BSD-3-Clause</t>
  </si>
  <si>
    <t>psf/requests</t>
  </si>
  <si>
    <t>psf</t>
  </si>
  <si>
    <t>requests</t>
  </si>
  <si>
    <t>https://github.com/psf/requests</t>
  </si>
  <si>
    <t>https://github.com/psf</t>
  </si>
  <si>
    <t>https://api.github.com/repos/psf/requests</t>
  </si>
  <si>
    <t>https://api.scorecard.dev/projects/github.com/psf/requests</t>
  </si>
  <si>
    <t>pydantic/pydantic</t>
  </si>
  <si>
    <t>pydantic</t>
  </si>
  <si>
    <t>https://github.com/pydantic/pydantic</t>
  </si>
  <si>
    <t>https://github.com/pydantic</t>
  </si>
  <si>
    <t>https://api.github.com/repos/pydantic/pydantic</t>
  </si>
  <si>
    <t>https://api.scorecard.dev/projects/github.com/pydantic/pydantic</t>
  </si>
  <si>
    <t>fastapi/fastapi</t>
  </si>
  <si>
    <t>fastapi</t>
  </si>
  <si>
    <t>https://github.com/fastapi/fastapi</t>
  </si>
  <si>
    <t>https://github.com/fastapi</t>
  </si>
  <si>
    <t>https://api.github.com/repos/fastapi/fastapi</t>
  </si>
  <si>
    <t>https://api.scorecard.dev/projects/github.com/fastapi/fastapi</t>
  </si>
  <si>
    <t>scrapy/scrapy</t>
  </si>
  <si>
    <t>scrapy</t>
  </si>
  <si>
    <t>https://github.com/scrapy/scrapy</t>
  </si>
  <si>
    <t>https://github.com/scrapy</t>
  </si>
  <si>
    <t>https://api.github.com/repos/scrapy/scrapy</t>
  </si>
  <si>
    <t>https://api.scorecard.dev/projects/github.com/scrapy/scrapy</t>
  </si>
  <si>
    <t>zsh-users/zsh-autosuggestions</t>
  </si>
  <si>
    <t>zsh-users</t>
  </si>
  <si>
    <t>zsh-autosuggestions</t>
  </si>
  <si>
    <t>https://github.com/zsh-users/zsh-autosuggestions</t>
  </si>
  <si>
    <t>https://github.com/zsh-users</t>
  </si>
  <si>
    <t>https://api.github.com/repos/zsh-users/zsh-autosuggestions</t>
  </si>
  <si>
    <t>https://api.scorecard.dev/projects/github.com/zsh-users/zsh-autosuggestions</t>
  </si>
  <si>
    <t>nvm-sh/nvm</t>
  </si>
  <si>
    <t>nvm-sh</t>
  </si>
  <si>
    <t>nvm</t>
  </si>
  <si>
    <t>https://github.com/nvm-sh/nvm</t>
  </si>
  <si>
    <t>https://github.com/nvm-sh</t>
  </si>
  <si>
    <t>https://api.github.com/repos/nvm-sh/nvm</t>
  </si>
  <si>
    <t>https://api.scorecard.dev/projects/github.com/nvm-sh/nvm</t>
  </si>
  <si>
    <t>ohmyzsh/ohmyzsh</t>
  </si>
  <si>
    <t>ohmyzsh</t>
  </si>
  <si>
    <t>https://github.com/ohmyzsh/ohmyzsh</t>
  </si>
  <si>
    <t>https://github.com/ohmyzsh</t>
  </si>
  <si>
    <t>https://api.github.com/repos/ohmyzsh/ohmyzsh</t>
  </si>
  <si>
    <t>https://api.scorecard.dev/projects/github.com/ohmyzsh/ohmyzsh</t>
  </si>
  <si>
    <t>serilog/serilog</t>
  </si>
  <si>
    <t>serilog</t>
  </si>
  <si>
    <t>https://github.com/serilog/serilog</t>
  </si>
  <si>
    <t>https://github.com/serilog</t>
  </si>
  <si>
    <t>https://api.github.com/repos/serilog/serilog</t>
  </si>
  <si>
    <t>https://api.scorecard.dev/projects/github.com/serilog/serilog</t>
  </si>
  <si>
    <t>dotnet/aspnetcore</t>
  </si>
  <si>
    <t>dotnet</t>
  </si>
  <si>
    <t>aspnetcore</t>
  </si>
  <si>
    <t>https://github.com/dotnet/aspnetcore</t>
  </si>
  <si>
    <t>https://github.com/dotnet</t>
  </si>
  <si>
    <t>https://api.github.com/repos/dotnet/aspnetcore</t>
  </si>
  <si>
    <t>https://api.scorecard.dev/projects/github.com/dotnet/aspnetcore</t>
  </si>
  <si>
    <t>dart-lang/http</t>
  </si>
  <si>
    <t>dart-lang</t>
  </si>
  <si>
    <t>http</t>
  </si>
  <si>
    <t>https://github.com/dart-lang/http</t>
  </si>
  <si>
    <t>https://github.com/dart-lang</t>
  </si>
  <si>
    <t>https://api.github.com/repos/dart-lang/http</t>
  </si>
  <si>
    <t>https://api.scorecard.dev/projects/github.com/dart-lang/http</t>
  </si>
  <si>
    <t>flutter/packages</t>
  </si>
  <si>
    <t>flutter</t>
  </si>
  <si>
    <t>packages</t>
  </si>
  <si>
    <t>https://github.com/flutter/packages</t>
  </si>
  <si>
    <t>https://github.com/flutter</t>
  </si>
  <si>
    <t>https://api.github.com/repos/flutter/packages</t>
  </si>
  <si>
    <t>https://api.scorecard.dev/projects/github.com/flutter/packages</t>
  </si>
  <si>
    <t>BurntSushi/ripgrep</t>
  </si>
  <si>
    <t>BurntSushi</t>
  </si>
  <si>
    <t>ripgrep</t>
  </si>
  <si>
    <t>https://github.com/BurntSushi/ripgrep</t>
  </si>
  <si>
    <t>https://github.com/BurntSushi</t>
  </si>
  <si>
    <t>https://api.github.com/repos/BurntSushi/ripgrep</t>
  </si>
  <si>
    <t>https://api.scorecard.dev/projects/github.com/BurntSushi/ripgrep</t>
  </si>
  <si>
    <t>Unlicense</t>
  </si>
  <si>
    <t>sharkdp/bat</t>
  </si>
  <si>
    <t>sharkdp</t>
  </si>
  <si>
    <t>bat</t>
  </si>
  <si>
    <t>https://github.com/sharkdp/bat</t>
  </si>
  <si>
    <t>https://github.com/sharkdp</t>
  </si>
  <si>
    <t>https://api.github.com/repos/sharkdp/bat</t>
  </si>
  <si>
    <t>https://api.scorecard.dev/projects/github.com/sharkdp/bat</t>
  </si>
  <si>
    <t>uuidjs/uuid</t>
  </si>
  <si>
    <t>uuidjs</t>
  </si>
  <si>
    <t>uuid</t>
  </si>
  <si>
    <t>https://github.com/uuidjs/uuid</t>
  </si>
  <si>
    <t>https://github.com/uuidjs</t>
  </si>
  <si>
    <t>https://api.github.com/repos/uuidjs/uuid</t>
  </si>
  <si>
    <t>https://api.scorecard.dev/projects/github.com/uuidjs/uuid</t>
  </si>
  <si>
    <t>terraform-aws-modules/terraform-aws-vpc</t>
  </si>
  <si>
    <t>terraform-aws-modules</t>
  </si>
  <si>
    <t>terraform-aws-vpc</t>
  </si>
  <si>
    <t>https://github.com/terraform-aws-modules/terraform-aws-vpc</t>
  </si>
  <si>
    <t>https://github.com/terraform-aws-modules</t>
  </si>
  <si>
    <t>https://api.github.com/repos/terraform-aws-modules/terraform-aws-vpc</t>
  </si>
  <si>
    <t>https://api.scorecard.dev/projects/github.com/terraform-aws-modules/terraform-aws-vpc</t>
  </si>
  <si>
    <t>check_name</t>
  </si>
  <si>
    <t>check_score_0_10</t>
  </si>
  <si>
    <t>reason</t>
  </si>
  <si>
    <t>http_status</t>
  </si>
  <si>
    <t>SIN_EVALUACION_PRECALCULADA</t>
  </si>
  <si>
    <t>HTTP 406; no se imputa como cero</t>
  </si>
  <si>
    <t>HTTP 404; no se imputa como cero</t>
  </si>
  <si>
    <t>Maintained</t>
  </si>
  <si>
    <t>8 commit(s) and 0 issue activity found in the last 90 days -- score normalized to 6</t>
  </si>
  <si>
    <t>CII-Best-Practices</t>
  </si>
  <si>
    <t>no effort to earn an OpenSSF best practices badge detected</t>
  </si>
  <si>
    <t>Code-Review</t>
  </si>
  <si>
    <t>Found 13/21 approved changesets -- score normalized to 6</t>
  </si>
  <si>
    <t>Security-Policy</t>
  </si>
  <si>
    <t>security policy file detected</t>
  </si>
  <si>
    <t>Packaging</t>
  </si>
  <si>
    <t>packaging workflow not detected</t>
  </si>
  <si>
    <t>Dangerous-Workflow</t>
  </si>
  <si>
    <t>no dangerous workflow patterns detected</t>
  </si>
  <si>
    <t>Token-Permissions</t>
  </si>
  <si>
    <t>detected GitHub workflow tokens with excessive permissions</t>
  </si>
  <si>
    <t>Binary-Artifacts</t>
  </si>
  <si>
    <t>no binaries found in the repo</t>
  </si>
  <si>
    <t>License</t>
  </si>
  <si>
    <t>license file detected</t>
  </si>
  <si>
    <t>Pinned-Dependencies</t>
  </si>
  <si>
    <t>dependency not pinned by hash detected -- score normalized to 0</t>
  </si>
  <si>
    <t>Branch-Protection</t>
  </si>
  <si>
    <t>branch protection is not maximal on development and all release branches</t>
  </si>
  <si>
    <t>Signed-Releases</t>
  </si>
  <si>
    <t>no releases found</t>
  </si>
  <si>
    <t>Fuzzing</t>
  </si>
  <si>
    <t>project is not fuzzed</t>
  </si>
  <si>
    <t>SAST</t>
  </si>
  <si>
    <t>SAST tool is run on all commits</t>
  </si>
  <si>
    <t>all changesets reviewed</t>
  </si>
  <si>
    <t>30 commit(s) and 9 issue activity found in the last 90 days -- score normalized to 10</t>
  </si>
  <si>
    <t>binaries present in source code</t>
  </si>
  <si>
    <t>all dependencies are pinned</t>
  </si>
  <si>
    <t>security policy file not detected</t>
  </si>
  <si>
    <t>packaging workflow detected</t>
  </si>
  <si>
    <t>SAST tool is not run on all commits -- score normalized to 0</t>
  </si>
  <si>
    <t>Found 3/30 approved changesets -- score normalized to 1</t>
  </si>
  <si>
    <t>30 commit(s) and 0 issue activity found in the last 90 days -- score normalized to 10</t>
  </si>
  <si>
    <t>internal error: error during branchesHandler.setup: internal error: some github tokens can't read classic branch protection rules: https://github.com/ossf/scorecard-action/blob/main/docs/authentication/fine-grained-auth-token.md</t>
  </si>
  <si>
    <t>Found 25/29 approved changesets -- score normalized to 8</t>
  </si>
  <si>
    <t>30 commit(s) and 18 issue activity found in the last 90 days -- score normalized to 10</t>
  </si>
  <si>
    <t>dependency not pinned by hash detected -- score normalized to 8</t>
  </si>
  <si>
    <t>Found 1/2 approved changesets -- score normalized to 5</t>
  </si>
  <si>
    <t>30 commit(s) and 23 issue activity found in the last 90 days -- score normalized to 10</t>
  </si>
  <si>
    <t>GitHub workflow tokens follow principle of least privilege</t>
  </si>
  <si>
    <t>SAST tool detected but not run on all commits</t>
  </si>
  <si>
    <t>25 commit(s) and 0 issue activity found in the last 90 days -- score normalized to 10</t>
  </si>
  <si>
    <t>dependency not pinned by hash detected -- score normalized to 3</t>
  </si>
  <si>
    <t>8 commit(s) and 16 issue activity found in the last 90 days -- score normalized to 10</t>
  </si>
  <si>
    <t>Found 0/25 approved changesets -- score normalized to 0</t>
  </si>
  <si>
    <t>project is fuzzed</t>
  </si>
  <si>
    <t>3 out of the last 5 releases have a total of 3 signed artifacts.</t>
  </si>
  <si>
    <t>Found 14/17 approved changesets -- score normalized to 8</t>
  </si>
  <si>
    <t>30 commit(s) and 5 issue activity found in the last 90 days -- score normalized to 10</t>
  </si>
  <si>
    <t>dependency not pinned by hash detected -- score normalized to 5</t>
  </si>
  <si>
    <t>Project has not signed or included provenance with any releases.</t>
  </si>
  <si>
    <t>Found 22/28 approved changesets -- score normalized to 7</t>
  </si>
  <si>
    <t>30 commit(s) and 6 issue activity found in the last 90 days -- score normalized to 10</t>
  </si>
  <si>
    <t>30 commit(s) and 19 issue activity found in the last 90 days -- score normalized to 10</t>
  </si>
  <si>
    <t>branch protection not enabled on development/release branches</t>
  </si>
  <si>
    <t>Found 10/13 approved changesets -- score normalized to 7</t>
  </si>
  <si>
    <t>0 commit(s) and 0 issue activity found in the last 90 days -- score normalized to 0</t>
  </si>
  <si>
    <t>26 commit(s) and 9 issue activity found in the last 90 days -- score normalized to 10</t>
  </si>
  <si>
    <t>Found 6/20 approved changesets -- score normalized to 3</t>
  </si>
  <si>
    <t>badge detected: Silver</t>
  </si>
  <si>
    <t>Dependency-Update-Tool</t>
  </si>
  <si>
    <t>update tool detected</t>
  </si>
  <si>
    <t>30 commit(s) and 11 issue activity found in the last 90 days -- score normalized to 10</t>
  </si>
  <si>
    <t>dependency not pinned by hash detected -- score normalized to 7</t>
  </si>
  <si>
    <t>badge detected: InProgress</t>
  </si>
  <si>
    <t>Vulnerabilities</t>
  </si>
  <si>
    <t>0 existing vulnerabilities detected</t>
  </si>
  <si>
    <t>SAST tool is not run on all commits -- score normalized to 4</t>
  </si>
  <si>
    <t>CI-Tests</t>
  </si>
  <si>
    <t>30 out of 30 merged PRs checked by a CI test -- score normalized to 10</t>
  </si>
  <si>
    <t>Contributors</t>
  </si>
  <si>
    <t>project has 61 contributing companies or organizations</t>
  </si>
  <si>
    <t>Found 17/25 approved changesets -- score normalized to 6</t>
  </si>
  <si>
    <t>8 commit(s) and 4 issue activity found in the last 90 days -- score normalized to 10</t>
  </si>
  <si>
    <t>Found 15/17 approved changesets -- score normalized to 8</t>
  </si>
  <si>
    <t>30 commit(s) and 8 issue activity found in the last 90 days -- score normalized to 10</t>
  </si>
  <si>
    <t>dependency not pinned by hash detected -- score normalized to 9</t>
  </si>
  <si>
    <t>internal error: error during branchesHandler.setup: internal error: githubv4.Query: Resource not accessible by personal access token</t>
  </si>
  <si>
    <t>project has 14 contributing companies or organizations</t>
  </si>
  <si>
    <t>Found 4/23 approved changesets -- score normalized to 1</t>
  </si>
  <si>
    <t>30 commit(s) and 17 issue activity found in the last 90 days -- score normalized to 10</t>
  </si>
  <si>
    <t>Found 8/26 approved changesets -- score normalized to 3</t>
  </si>
  <si>
    <t>dangerous workflow patterns detected</t>
  </si>
  <si>
    <t>8 commit(s) and 5 issue activity found in the last 90 days -- score normalized to 10</t>
  </si>
  <si>
    <t>dependency not pinned by hash detected -- score normalized to 6</t>
  </si>
  <si>
    <t>SAST tool is not run on all commits -- score normalized to 7</t>
  </si>
  <si>
    <t>variable</t>
  </si>
  <si>
    <t>grupo</t>
  </si>
  <si>
    <t>definición operacional</t>
  </si>
  <si>
    <t>tipo/escala</t>
  </si>
  <si>
    <t>procedencia</t>
  </si>
  <si>
    <t>observación</t>
  </si>
  <si>
    <t>Muestreo</t>
  </si>
  <si>
    <t>Estrato de comparación: Perú o benchmark internacional.</t>
  </si>
  <si>
    <t>Categórica</t>
  </si>
  <si>
    <t>Diseño de muestra</t>
  </si>
  <si>
    <t>Benchmark no probabilístico</t>
  </si>
  <si>
    <t>Identificación</t>
  </si>
  <si>
    <t>Nombre owner/repositorio.</t>
  </si>
  <si>
    <t>Texto</t>
  </si>
  <si>
    <t>GitHub</t>
  </si>
  <si>
    <t>Unidad de análisis</t>
  </si>
  <si>
    <t>Trazabilidad</t>
  </si>
  <si>
    <t>URL pública exacta del repositorio.</t>
  </si>
  <si>
    <t>URL</t>
  </si>
  <si>
    <t>Fuente primaria</t>
  </si>
  <si>
    <t>Evidencia usada para atribuir el perfil organizacional a Perú.</t>
  </si>
  <si>
    <t>Perfil público GitHub</t>
  </si>
  <si>
    <t>Autodeclarada por la organización</t>
  </si>
  <si>
    <t>Externa</t>
  </si>
  <si>
    <t>Puntuación total OpenSSF cuando existe evaluación precalculada.</t>
  </si>
  <si>
    <t>0–10 o vacío</t>
  </si>
  <si>
    <t>OpenSSF Scorecard API</t>
  </si>
  <si>
    <t>No imputar faltantes</t>
  </si>
  <si>
    <t>Gobernanza</t>
  </si>
  <si>
    <t>SECURITY.md observado en la rama pública.</t>
  </si>
  <si>
    <t>Binaria 0/1</t>
  </si>
  <si>
    <t>Árbol Git</t>
  </si>
  <si>
    <t>Ausencia significa no observado</t>
  </si>
  <si>
    <t>Acceso/gobernanza</t>
  </si>
  <si>
    <t>CODEOWNERS observado.</t>
  </si>
  <si>
    <t>Proxy público</t>
  </si>
  <si>
    <t>Gestión del riesgo</t>
  </si>
  <si>
    <t>Dependabot o Renovate observado.</t>
  </si>
  <si>
    <t>Proxy de tratamiento continuo</t>
  </si>
  <si>
    <t>Número de workflows YAML en .github/workflows.</t>
  </si>
  <si>
    <t>Conteo</t>
  </si>
  <si>
    <t>Rama predeterminada</t>
  </si>
  <si>
    <t>Protección de código</t>
  </si>
  <si>
    <t>Workflow con señal de SAST/CodeQL/Semgrep/Sonar/Snyk u otro patrón definido.</t>
  </si>
  <si>
    <t>Análisis estático del workflow</t>
  </si>
  <si>
    <t>Heurística reproducible</t>
  </si>
  <si>
    <t>Workflow con Gitleaks, TruffleHog, detect-secrets u otro patrón definido.</t>
  </si>
  <si>
    <t>No incluye controles privados</t>
  </si>
  <si>
    <t>Trazabilidad/calidad</t>
  </si>
  <si>
    <t>Pruebas detectadas en workflow o nombre del workflow.</t>
  </si>
  <si>
    <t>Heurística</t>
  </si>
  <si>
    <t>Release, publicación o despliegue detectado.</t>
  </si>
  <si>
    <t>Control de acceso</t>
  </si>
  <si>
    <t>10=permisos restrictivos explícitos; 5=restrictivos y escritura; 0=solo escritura amplia; vacío=no evaluable.</t>
  </si>
  <si>
    <t>0/5/10 o vacío</t>
  </si>
  <si>
    <t>Workflows públicos</t>
  </si>
  <si>
    <t>No representa RBAC interno</t>
  </si>
  <si>
    <t>Proporción de acciones remotas fijadas a SHA de 40 caracteres.</t>
  </si>
  <si>
    <t>0–1</t>
  </si>
  <si>
    <t>Vacío si no hay acciones remotas</t>
  </si>
  <si>
    <t>Monitoreo</t>
  </si>
  <si>
    <t>Commits entre los últimos 100 cuya fecha está dentro de 90 días.</t>
  </si>
  <si>
    <t>Conteo 0–100</t>
  </si>
  <si>
    <t>Historial Git</t>
  </si>
  <si>
    <t>Truncado a 100 commits</t>
  </si>
  <si>
    <t>Contexto</t>
  </si>
  <si>
    <t>Contribuidores distintos en los últimos 100 commits; no se exportan identidades.</t>
  </si>
  <si>
    <t>Privacidad por agregación</t>
  </si>
  <si>
    <t>Proporción de mensajes con prefijo Conventional Commits.</t>
  </si>
  <si>
    <t>Heurística textual</t>
  </si>
  <si>
    <t>Proporción de mensajes con #n o clave tipo PROY-123.</t>
  </si>
  <si>
    <t>No confirma vínculo válido</t>
  </si>
  <si>
    <t>Revisión/trazabilidad</t>
  </si>
  <si>
    <t>Proporción de commits con más de un padre.</t>
  </si>
  <si>
    <t>Squash/rebase puede reducirlo</t>
  </si>
  <si>
    <t>Integridad</t>
  </si>
  <si>
    <t>Proporción con señal de firma en el historial Git.</t>
  </si>
  <si>
    <t>Git %G?</t>
  </si>
  <si>
    <t>Detección local, no validación de identidad</t>
  </si>
  <si>
    <t>Indicador compuesto</t>
  </si>
  <si>
    <t>Media 0–10 de SECURITY.md, actualización de dependencias, actividad reciente y licencia.</t>
  </si>
  <si>
    <t>0–10</t>
  </si>
  <si>
    <t>Fórmula Excel</t>
  </si>
  <si>
    <t>Proxy público, no madurez ISO</t>
  </si>
  <si>
    <t>Media 0–10 de CODEOWNERS, permisos explícitos y firma detectada.</t>
  </si>
  <si>
    <t>Cobertura pública limitada</t>
  </si>
  <si>
    <t>Media 0–10 de SAST, secretos, actualización, acciones fijadas y firma.</t>
  </si>
  <si>
    <t>Controles privados no observables</t>
  </si>
  <si>
    <t>Media 0–10 de actividad, commits convencionales, referencias, merges, pruebas y releases.</t>
  </si>
  <si>
    <t>Proxy de trazabilidad</t>
  </si>
  <si>
    <t>Media de cuatro dimensiones observadas.</t>
  </si>
  <si>
    <t>Exploratorio</t>
  </si>
  <si>
    <t>Endpoint exacto de metadatos del repositorio.</t>
  </si>
  <si>
    <t>GitHub REST API</t>
  </si>
  <si>
    <t>Fecha de extracción registrada</t>
  </si>
  <si>
    <t>Endpoint exacto de OpenSSF Scorecard.</t>
  </si>
  <si>
    <t>OpenSSF</t>
  </si>
  <si>
    <t>Puede responder sin evaluación</t>
  </si>
  <si>
    <t>Calidad</t>
  </si>
  <si>
    <t>Estado HTTP de la consulta Scorecard.</t>
  </si>
  <si>
    <t>Entero</t>
  </si>
  <si>
    <t>OpenSSF API</t>
  </si>
  <si>
    <t>406/404 no equivale a score 0</t>
  </si>
  <si>
    <t>Estado de clonación parcial usada para observar árbol e historial.</t>
  </si>
  <si>
    <t>Git</t>
  </si>
  <si>
    <t>Todos los registros deben ser ok</t>
  </si>
  <si>
    <t>METODOLOGÍA DE EXTRACCIÓN Y OPERACIONALIZACIÓN</t>
  </si>
  <si>
    <t>Etapa</t>
  </si>
  <si>
    <t>Decisión</t>
  </si>
  <si>
    <t>Criterio</t>
  </si>
  <si>
    <t>Producto</t>
  </si>
  <si>
    <t>Riesgo controlado</t>
  </si>
  <si>
    <t>Fuente</t>
  </si>
  <si>
    <t>Fecha</t>
  </si>
  <si>
    <t>Selección Perú</t>
  </si>
  <si>
    <t>Perfiles organizacionales con ubicación pública Perú; repositorios no archivados y con contenido.</t>
  </si>
  <si>
    <t>Muestreo intencional; máximo 4 por organización cuando fue posible.</t>
  </si>
  <si>
    <t>24 repositorios / 9 organizaciones</t>
  </si>
  <si>
    <t>Atribución territorial por nombre solamente</t>
  </si>
  <si>
    <t>URL del perfil organizacional</t>
  </si>
  <si>
    <t>Benchmark</t>
  </si>
  <si>
    <t>Proyectos internacionales de referencia entre lenguajes comparables.</t>
  </si>
  <si>
    <t>Selección deliberada; no emparejamiento causal.</t>
  </si>
  <si>
    <t>24 repositorios</t>
  </si>
  <si>
    <t>Interpretar como referencia, no control</t>
  </si>
  <si>
    <t>URL del repositorio</t>
  </si>
  <si>
    <t>Metadatos</t>
  </si>
  <si>
    <t>Consulta de repositorio público.</t>
  </si>
  <si>
    <t>Conservar URL, estado y fecha.</t>
  </si>
  <si>
    <t>Tamaño, lenguaje, licencia, actividad</t>
  </si>
  <si>
    <t>Datos cambiantes</t>
  </si>
  <si>
    <t>https://docs.github.com/en/rest/repos/repos#get-a-repository</t>
  </si>
  <si>
    <t>Árbol</t>
  </si>
  <si>
    <t>Clonación parcial --filter=blob:none --depth 100.</t>
  </si>
  <si>
    <t>Rama predeterminada pública.</t>
  </si>
  <si>
    <t>Archivos y workflows observables</t>
  </si>
  <si>
    <t>No descargar todo el contenido</t>
  </si>
  <si>
    <t>https://git-scm.com/docs/git-clone</t>
  </si>
  <si>
    <t>Historial</t>
  </si>
  <si>
    <t>Últimos 100 commits del clon parcial.</t>
  </si>
  <si>
    <t>Solo conteos y razones; no identidades exportadas.</t>
  </si>
  <si>
    <t>Actividad y trazabilidad</t>
  </si>
  <si>
    <t>Privacidad y truncamiento</t>
  </si>
  <si>
    <t>https://git-scm.com/docs/git-log</t>
  </si>
  <si>
    <t>Consulta de evaluación precalculada.</t>
  </si>
  <si>
    <t>Vacío si no existe; nunca imputar 0.</t>
  </si>
  <si>
    <t>19 repositorios con score</t>
  </si>
  <si>
    <t>Ausencia no aleatoria</t>
  </si>
  <si>
    <t>https://github.com/ossf/scorecard</t>
  </si>
  <si>
    <t>Indicadores</t>
  </si>
  <si>
    <t>Cuatro proxies 0–10 calculados con fórmulas visibles.</t>
  </si>
  <si>
    <t>Mismos criterios para ambos estratos.</t>
  </si>
  <si>
    <t>Gobernanza, acceso, código, trazabilidad</t>
  </si>
  <si>
    <t>No equivalen a auditoría</t>
  </si>
  <si>
    <t>https://github.com/ossf/scorecard/blob/main/docs/checks.md</t>
  </si>
  <si>
    <t>Análisis</t>
  </si>
  <si>
    <t>Descriptivos, prevalencias, diferencias bootstrap y correlación de Spearman.</t>
  </si>
  <si>
    <t>Sin afirmación causal o poblacional.</t>
  </si>
  <si>
    <t>Tablas y gráficos</t>
  </si>
  <si>
    <t>Sobreinterpretación</t>
  </si>
  <si>
    <t>Libro actual</t>
  </si>
  <si>
    <t>Indicador</t>
  </si>
  <si>
    <t>Fórmula conceptual</t>
  </si>
  <si>
    <t>Componentes</t>
  </si>
  <si>
    <t>Escala</t>
  </si>
  <si>
    <t>Dato faltante</t>
  </si>
  <si>
    <t>Uso</t>
  </si>
  <si>
    <t>Prohibición interpretativa</t>
  </si>
  <si>
    <t>Gobernanza/riesgo</t>
  </si>
  <si>
    <t>Promedio de cuatro señales</t>
  </si>
  <si>
    <t>SECURITY.md; dependencias; actividad 90d; licencia</t>
  </si>
  <si>
    <t>No aplica: componentes binarios/actividad</t>
  </si>
  <si>
    <t>Comparación exploratoria</t>
  </si>
  <si>
    <t>No llamar madurez ISO 27001</t>
  </si>
  <si>
    <t>Promedio de señales públicas disponibles</t>
  </si>
  <si>
    <t>CODEOWNERS; permisos workflow; firma detectada</t>
  </si>
  <si>
    <t>Permisos vacíos se excluyen</t>
  </si>
  <si>
    <t>Comparación con cautela</t>
  </si>
  <si>
    <t>No inferir RBAC/MFA interno</t>
  </si>
  <si>
    <t>Promedio de cuatro o cinco señales</t>
  </si>
  <si>
    <t>SAST; secretos; dependencias; pins; firma</t>
  </si>
  <si>
    <t>Pins se excluyen si no hay acciones</t>
  </si>
  <si>
    <t>No afirmar ausencia de controles privados</t>
  </si>
  <si>
    <t>Promedio de seis señales</t>
  </si>
  <si>
    <t>Actividad; convenciones; referencias; merges; pruebas; releases</t>
  </si>
  <si>
    <t>Sin imputación externa</t>
  </si>
  <si>
    <t>No sustituye auditoría de CI/CD</t>
  </si>
  <si>
    <t>Global observado</t>
  </si>
  <si>
    <t>Promedio de cuatro dimensiones</t>
  </si>
  <si>
    <t>Indicadores anteriores</t>
  </si>
  <si>
    <t>Requiere dimensiones calculables</t>
  </si>
  <si>
    <t>Resumen</t>
  </si>
  <si>
    <t>No usar como certificación</t>
  </si>
  <si>
    <t>Bootstrap</t>
  </si>
  <si>
    <t>2,000 remuestras; semilla 20260731</t>
  </si>
  <si>
    <t>Diferencia benchmark − Perú</t>
  </si>
  <si>
    <t>IC descriptivo</t>
  </si>
  <si>
    <t>No incluye imputación</t>
  </si>
  <si>
    <t>Incertidumbre muestral interna</t>
  </si>
  <si>
    <t>No generalizar a población</t>
  </si>
  <si>
    <t>ANÁLISIS ESTADÍSTICO DESCRIPTIVO — DATOS REALES ABIERTOS</t>
  </si>
  <si>
    <t>n Perú</t>
  </si>
  <si>
    <t>Media Perú</t>
  </si>
  <si>
    <t>Mediana Perú</t>
  </si>
  <si>
    <t>DE Perú</t>
  </si>
  <si>
    <t>n benchmark</t>
  </si>
  <si>
    <t>Media benchmark</t>
  </si>
  <si>
    <t>Mediana benchmark</t>
  </si>
  <si>
    <t>DE benchmark</t>
  </si>
  <si>
    <t>Diferencia benchmark−Perú [IC bootstrap 95%]</t>
  </si>
  <si>
    <t>3.70 [1.96, 5.34]</t>
  </si>
  <si>
    <t>1.74 [0.83, 2.71]</t>
  </si>
  <si>
    <t>1.86 [0.94, 2.85]</t>
  </si>
  <si>
    <t>2.88 [1.82, 3.95]</t>
  </si>
  <si>
    <t>2.54 [1.49, 3.57]</t>
  </si>
  <si>
    <t>Control observable</t>
  </si>
  <si>
    <t>Perú n</t>
  </si>
  <si>
    <t>Perú %</t>
  </si>
  <si>
    <t>Benchmark n</t>
  </si>
  <si>
    <t>Benchmark %</t>
  </si>
  <si>
    <t>Diferencia pp</t>
  </si>
  <si>
    <t>Interpretación</t>
  </si>
  <si>
    <t>Unidad</t>
  </si>
  <si>
    <t>SECURITY.md</t>
  </si>
  <si>
    <t>Prevalencia observada en la rama pública</t>
  </si>
  <si>
    <t>Repositorio</t>
  </si>
  <si>
    <t>CODEOWNERS</t>
  </si>
  <si>
    <t>Dependabot/Renovate</t>
  </si>
  <si>
    <t>Al menos un workflow CI</t>
  </si>
  <si>
    <t>SAST observado</t>
  </si>
  <si>
    <t>Escaneo de secretos</t>
  </si>
  <si>
    <t>Pruebas en workflow</t>
  </si>
  <si>
    <t>Release/publicación</t>
  </si>
  <si>
    <t>Permisos restrictivos explícitos</t>
  </si>
  <si>
    <t>Resultado proxy</t>
  </si>
  <si>
    <t>Estrato</t>
  </si>
  <si>
    <t>n</t>
  </si>
  <si>
    <t>ρ Spearman con gobernanza/riesgo</t>
  </si>
  <si>
    <t>Advertencia</t>
  </si>
  <si>
    <t>Total</t>
  </si>
  <si>
    <t>Spearman; asociación descriptiva entre proxies</t>
  </si>
  <si>
    <t>Perú</t>
  </si>
  <si>
    <t>Cobertura</t>
  </si>
  <si>
    <t>Uso analítico</t>
  </si>
  <si>
    <t>Repositorios</t>
  </si>
  <si>
    <t>Todos los proxies observados</t>
  </si>
  <si>
    <t>Comparación principal</t>
  </si>
  <si>
    <t>Git clone/árbol exitoso</t>
  </si>
  <si>
    <t>Todos</t>
  </si>
  <si>
    <t>Completo</t>
  </si>
  <si>
    <t>OpenSSF Scorecard disponible</t>
  </si>
  <si>
    <t>Solo descripción complementaria</t>
  </si>
  <si>
    <t>No comparar estratos por ausencia no aleatoria</t>
  </si>
  <si>
    <t>Media Scorecard disponible</t>
  </si>
  <si>
    <t>Casos disponibles</t>
  </si>
  <si>
    <t>No imputar</t>
  </si>
  <si>
    <t>GRÁFICOS — COMPARACIÓN DESCRIPTIVA</t>
  </si>
  <si>
    <t>Dimensión</t>
  </si>
  <si>
    <t>Control</t>
  </si>
  <si>
    <t>LIMITACIONES Y REGLAS DE INTERPRETACIÓN</t>
  </si>
  <si>
    <t>N°</t>
  </si>
  <si>
    <t>Limitación</t>
  </si>
  <si>
    <t>Efecto posible</t>
  </si>
  <si>
    <t>Mitigación aplicada</t>
  </si>
  <si>
    <t>Qué sí puede afirmarse</t>
  </si>
  <si>
    <t>Qué no puede afirmarse</t>
  </si>
  <si>
    <t>Prioridad</t>
  </si>
  <si>
    <t>Muestreo intencional y no probabilístico.</t>
  </si>
  <si>
    <t>Sesgo de selección; el benchmark contiene proyectos de referencia más visibles.</t>
  </si>
  <si>
    <t>Documentar criterios y tamaños efectivos.</t>
  </si>
  <si>
    <t>Diferencias dentro de esta muestra.</t>
  </si>
  <si>
    <t>Representatividad del Perú o del ecosistema global.</t>
  </si>
  <si>
    <t>Crítica</t>
  </si>
  <si>
    <t>Ubicación Perú autodeclarada en el perfil organizacional.</t>
  </si>
  <si>
    <t>La operación real o constitución legal puede diferir.</t>
  </si>
  <si>
    <t>Conservar URL y texto de evidencia.</t>
  </si>
  <si>
    <t>El perfil público declaraba Perú en la extracción.</t>
  </si>
  <si>
    <t>Nacionalidad jurídica certificada.</t>
  </si>
  <si>
    <t>Alta</t>
  </si>
  <si>
    <t>Repositorios públicos, no sistemas internos.</t>
  </si>
  <si>
    <t>No se observan RBAC, MFA, incidentes, repositorios privados ni políticas internas.</t>
  </si>
  <si>
    <t>Nombrar indicadores como proxies observados.</t>
  </si>
  <si>
    <t>Configuraciones visibles en la rama pública.</t>
  </si>
  <si>
    <t>Madurez empresarial integral o cumplimiento.</t>
  </si>
  <si>
    <t>Ausencia de archivo o workflow.</t>
  </si>
  <si>
    <t>Puede existir un control privado o en otra plataforma/rama.</t>
  </si>
  <si>
    <t>Usar 'no observado', no 'inexistente'.</t>
  </si>
  <si>
    <t>No se observó la señal con el método definido.</t>
  </si>
  <si>
    <t>Incumplimiento de la organización.</t>
  </si>
  <si>
    <t>Control de acceso con baja observabilidad pública.</t>
  </si>
  <si>
    <t>CODEOWNERS, permisos y firmas cubren solo una parte del constructo.</t>
  </si>
  <si>
    <t>Separar la dimensión y declarar cobertura limitada.</t>
  </si>
  <si>
    <t>Proxy público acotado.</t>
  </si>
  <si>
    <t>Efectividad real del control de acceso.</t>
  </si>
  <si>
    <t>Varios repositorios por organización.</t>
  </si>
  <si>
    <t>Observaciones no independientes y posible efecto de plantilla común.</t>
  </si>
  <si>
    <t>Máximo de cuatro; reportar número de organizaciones.</t>
  </si>
  <si>
    <t>Descripción por repositorio.</t>
  </si>
  <si>
    <t>Pruebas inferenciales que asumen independencia.</t>
  </si>
  <si>
    <t>OpenSSF disponible en 19/48 y casi solo en benchmark.</t>
  </si>
  <si>
    <t>Ausencia informativa/no aleatoria.</t>
  </si>
  <si>
    <t>No imputar y excluir de la comparación principal.</t>
  </si>
  <si>
    <t>Descripción de casos disponibles.</t>
  </si>
  <si>
    <t>Comparación Perú–benchmark con Scorecard.</t>
  </si>
  <si>
    <t>Últimos 100 commits y ventana de 90 días.</t>
  </si>
  <si>
    <t>Proyectos muy activos quedan truncados; proyectos antiguos muestran cero reciente.</t>
  </si>
  <si>
    <t>Conservar commits analizados y fecha.</t>
  </si>
  <si>
    <t>Actividad dentro de la ventana observada.</t>
  </si>
  <si>
    <t>Historial completo del proyecto.</t>
  </si>
  <si>
    <t>Media</t>
  </si>
  <si>
    <t>Heurísticas de workflows y mensajes.</t>
  </si>
  <si>
    <t>Falsos positivos o negativos por nombres/comandos no reconocidos.</t>
  </si>
  <si>
    <t>Patrones explícitos y diccionario reproducible.</t>
  </si>
  <si>
    <t>Señales detectadas por el patrón.</t>
  </si>
  <si>
    <t>Evaluación semántica exhaustiva.</t>
  </si>
  <si>
    <t>Datos dinámicos.</t>
  </si>
  <si>
    <t>Resultados cambian con commits, archivos y configuraciones.</t>
  </si>
  <si>
    <t>Registrar fecha/hora y URLs.</t>
  </si>
  <si>
    <t>Estado observado al momento de extracción.</t>
  </si>
  <si>
    <t>Estado actual futuro sin reextracción.</t>
  </si>
  <si>
    <t>Indicadores compuestos con pesos iguales.</t>
  </si>
  <si>
    <t>Los pesos no están validados psicométricamente.</t>
  </si>
  <si>
    <t>Mostrar componentes y fórmulas.</t>
  </si>
  <si>
    <t>Índice exploratorio reproducible.</t>
  </si>
  <si>
    <t>Escala validada de madurez.</t>
  </si>
  <si>
    <t>TRAZABILIDAD DE FUENTES POR REPOSITORIO</t>
  </si>
  <si>
    <t>states</t>
  </si>
  <si>
    <t>GitHub 200; Scorecard 406; Git ok</t>
  </si>
  <si>
    <t>GitHub 200; Scorecard 404; Git ok</t>
  </si>
  <si>
    <t>GitHub 200; Scorecard 200; Git ok</t>
  </si>
  <si>
    <t>Fuente metodológica</t>
  </si>
  <si>
    <t>GitHub REST</t>
  </si>
  <si>
    <t>Git clone</t>
  </si>
  <si>
    <t>Árbol y snapshot</t>
  </si>
  <si>
    <t>Git log</t>
  </si>
  <si>
    <t>Últimos 100 commits</t>
  </si>
  <si>
    <t>OpenSSF Scorecard</t>
  </si>
  <si>
    <t>Evaluación externa disponible</t>
  </si>
  <si>
    <t>Definición de checks</t>
  </si>
  <si>
    <t>Interpretación de checks</t>
  </si>
  <si>
    <t>CONTROL DE CALIDAD, COMPLETITUD Y REPRODUCIBILIDAD</t>
  </si>
  <si>
    <t>Resultado</t>
  </si>
  <si>
    <t>Esperado</t>
  </si>
  <si>
    <t>Estado</t>
  </si>
  <si>
    <t>Método</t>
  </si>
  <si>
    <t>Alcance</t>
  </si>
  <si>
    <t>Acción</t>
  </si>
  <si>
    <t>Registros</t>
  </si>
  <si>
    <t>OK</t>
  </si>
  <si>
    <t>Corregir selección</t>
  </si>
  <si>
    <t>Estrato Perú</t>
  </si>
  <si>
    <t>Revisar estrato</t>
  </si>
  <si>
    <t>URLs únicas</t>
  </si>
  <si>
    <t>Unicidad</t>
  </si>
  <si>
    <t>Desduplicar</t>
  </si>
  <si>
    <t>Metadatos GitHub</t>
  </si>
  <si>
    <t>Estado fuente</t>
  </si>
  <si>
    <t>Reextraer</t>
  </si>
  <si>
    <t>Clonación Git</t>
  </si>
  <si>
    <t>Estado técnico</t>
  </si>
  <si>
    <t>Árbol/historial</t>
  </si>
  <si>
    <t>Reintentar</t>
  </si>
  <si>
    <t>Indicadores compuestos</t>
  </si>
  <si>
    <t>Completitud</t>
  </si>
  <si>
    <t>Revisar fórmula</t>
  </si>
  <si>
    <t>INFORMATIVO</t>
  </si>
  <si>
    <t>Identidades personales exportadas</t>
  </si>
  <si>
    <t>Dataset</t>
  </si>
  <si>
    <t>Mantener agregación</t>
  </si>
  <si>
    <t>No vacía</t>
  </si>
  <si>
    <t>Registrar</t>
  </si>
  <si>
    <t>Parámetro</t>
  </si>
  <si>
    <t>Valor</t>
  </si>
  <si>
    <t>Justificación</t>
  </si>
  <si>
    <t>Versionado</t>
  </si>
  <si>
    <t>Riesgo</t>
  </si>
  <si>
    <t>Ventana commits</t>
  </si>
  <si>
    <t>Equilibrio entre comparabilidad y costo</t>
  </si>
  <si>
    <t>Fijo</t>
  </si>
  <si>
    <t>git log</t>
  </si>
  <si>
    <t>Truncamiento</t>
  </si>
  <si>
    <t>Reportar commits_analyzed</t>
  </si>
  <si>
    <t>Actividad reciente</t>
  </si>
  <si>
    <t>Ventana reproducible</t>
  </si>
  <si>
    <t>Fecha del commit</t>
  </si>
  <si>
    <t>Estacionalidad</t>
  </si>
  <si>
    <t>Registrar fecha</t>
  </si>
  <si>
    <t>Intervalo descriptivo estable</t>
  </si>
  <si>
    <t>Semilla 20260731</t>
  </si>
  <si>
    <t>Análisis del libro</t>
  </si>
  <si>
    <t>No poblacional</t>
  </si>
  <si>
    <t>Rotular exploratorio</t>
  </si>
  <si>
    <t>Escala compuesta</t>
  </si>
  <si>
    <t>Comparabilidad visual</t>
  </si>
  <si>
    <t>Fórmulas visibles</t>
  </si>
  <si>
    <t>Componentes públicos</t>
  </si>
  <si>
    <t>Pesos iguales</t>
  </si>
  <si>
    <t>No llamar escala validada</t>
  </si>
  <si>
    <t>Scorecard faltante</t>
  </si>
  <si>
    <t>Vacío</t>
  </si>
  <si>
    <t>Ausencia no equivale a cero</t>
  </si>
  <si>
    <t>Sin imputación</t>
  </si>
  <si>
    <t>HTTP status</t>
  </si>
  <si>
    <t>Sesgo no aleatorio</t>
  </si>
  <si>
    <t>Excluir comparación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</si>
</sst>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%"/>
    <numFmt numFmtId="166" formatCode="0.000"/>
  </numFmts>
  <fonts count="5">
    <font>
      <sz val="11"/>
      <name val="Carlito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0"/>
      <color rgb="FF24313D"/>
      <name val="Aptos"/>
    </font>
    <font>
      <sz val="10"/>
      <color rgb="FF24313D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FFF1D6"/>
      </patternFill>
    </fill>
    <fill>
      <patternFill patternType="solid">
        <fgColor rgb="FF2678AE"/>
      </patternFill>
    </fill>
    <fill>
      <patternFill patternType="solid">
        <fgColor rgb="FFF5F8FB"/>
      </patternFill>
    </fill>
    <fill>
      <patternFill patternType="solid">
        <fgColor rgb="FFDCECF7"/>
      </patternFill>
    </fill>
  </fills>
  <borders count="15">
    <border>
      <left/>
      <right/>
      <top/>
      <bottom/>
      <diagonal/>
    </border>
    <border>
      <left style="medium">
        <color rgb="FFC79828"/>
      </left>
      <right/>
      <top style="medium">
        <color rgb="FFC79828"/>
      </top>
      <bottom/>
      <diagonal/>
    </border>
    <border>
      <left/>
      <right/>
      <top style="medium">
        <color rgb="FFC79828"/>
      </top>
      <bottom/>
      <diagonal/>
    </border>
    <border>
      <left/>
      <right style="medium">
        <color rgb="FFC79828"/>
      </right>
      <top style="medium">
        <color rgb="FFC79828"/>
      </top>
      <bottom/>
      <diagonal/>
    </border>
    <border>
      <left style="medium">
        <color rgb="FFC79828"/>
      </left>
      <right/>
      <top/>
      <bottom style="medium">
        <color rgb="FFC79828"/>
      </bottom>
      <diagonal/>
    </border>
    <border>
      <left/>
      <right/>
      <top/>
      <bottom style="medium">
        <color rgb="FFC79828"/>
      </bottom>
      <diagonal/>
    </border>
    <border>
      <left/>
      <right style="medium">
        <color rgb="FFC79828"/>
      </right>
      <top/>
      <bottom style="medium">
        <color rgb="FFC79828"/>
      </bottom>
      <diagonal/>
    </border>
    <border>
      <left style="thin">
        <color rgb="FF2678AE"/>
      </left>
      <right/>
      <top style="thin">
        <color rgb="FF2678AE"/>
      </top>
      <bottom/>
      <diagonal/>
    </border>
    <border>
      <left/>
      <right/>
      <top style="thin">
        <color rgb="FF2678AE"/>
      </top>
      <bottom/>
      <diagonal/>
    </border>
    <border>
      <left/>
      <right style="thin">
        <color rgb="FF2678AE"/>
      </right>
      <top style="thin">
        <color rgb="FF2678AE"/>
      </top>
      <bottom/>
      <diagonal/>
    </border>
    <border>
      <left style="thin">
        <color rgb="FF2678AE"/>
      </left>
      <right/>
      <top/>
      <bottom/>
      <diagonal/>
    </border>
    <border>
      <left/>
      <right style="thin">
        <color rgb="FF2678AE"/>
      </right>
      <top/>
      <bottom/>
      <diagonal/>
    </border>
    <border>
      <left style="thin">
        <color rgb="FF2678AE"/>
      </left>
      <right/>
      <top/>
      <bottom style="thin">
        <color rgb="FF2678AE"/>
      </bottom>
      <diagonal/>
    </border>
    <border>
      <left/>
      <right/>
      <top/>
      <bottom style="thin">
        <color rgb="FF2678AE"/>
      </bottom>
      <diagonal/>
    </border>
    <border>
      <left/>
      <right style="thin">
        <color rgb="FF2678AE"/>
      </right>
      <top/>
      <bottom style="thin">
        <color rgb="FF2678A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5" borderId="0" xfId="0" applyNumberFormat="1" applyFont="1" applyFill="1" applyBorder="1"/>
    <xf numFmtId="0" fontId="4" fillId="0" borderId="0" xfId="0" applyNumberFormat="1" applyFont="1" applyFill="1" applyBorder="1" applyAlignment="1">
      <alignment wrapText="1"/>
    </xf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2" fontId="4" fillId="0" borderId="0" xfId="0" applyNumberFormat="1" applyFont="1" applyFill="1" applyBorder="1"/>
    <xf numFmtId="2" fontId="4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wrapText="1"/>
    </xf>
    <xf numFmtId="166" fontId="4" fillId="0" borderId="0" xfId="0" applyNumberFormat="1" applyFont="1" applyFill="1" applyBorder="1" applyAlignment="1">
      <alignment wrapText="1"/>
    </xf>
    <xf numFmtId="9" fontId="4" fillId="0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 wrapText="1"/>
    </xf>
    <xf numFmtId="0" fontId="3" fillId="3" borderId="2" xfId="0" applyNumberFormat="1" applyFont="1" applyFill="1" applyBorder="1" applyAlignment="1">
      <alignment vertical="center" wrapText="1"/>
    </xf>
    <xf numFmtId="0" fontId="3" fillId="3" borderId="3" xfId="0" applyNumberFormat="1" applyFont="1" applyFill="1" applyBorder="1" applyAlignment="1">
      <alignment vertical="center" wrapText="1"/>
    </xf>
    <xf numFmtId="0" fontId="3" fillId="3" borderId="4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 wrapText="1"/>
    </xf>
    <xf numFmtId="0" fontId="3" fillId="3" borderId="6" xfId="0" applyNumberFormat="1" applyFont="1" applyFill="1" applyBorder="1" applyAlignment="1">
      <alignment vertical="center" wrapText="1"/>
    </xf>
    <xf numFmtId="0" fontId="4" fillId="6" borderId="7" xfId="0" applyNumberFormat="1" applyFont="1" applyFill="1" applyBorder="1" applyAlignment="1">
      <alignment vertical="center" wrapText="1"/>
    </xf>
    <xf numFmtId="0" fontId="4" fillId="6" borderId="8" xfId="0" applyNumberFormat="1" applyFont="1" applyFill="1" applyBorder="1" applyAlignment="1">
      <alignment vertical="center" wrapText="1"/>
    </xf>
    <xf numFmtId="0" fontId="4" fillId="6" borderId="9" xfId="0" applyNumberFormat="1" applyFont="1" applyFill="1" applyBorder="1" applyAlignment="1">
      <alignment vertical="center" wrapText="1"/>
    </xf>
    <xf numFmtId="0" fontId="4" fillId="6" borderId="10" xfId="0" applyNumberFormat="1" applyFont="1" applyFill="1" applyBorder="1" applyAlignment="1">
      <alignment vertical="center" wrapText="1"/>
    </xf>
    <xf numFmtId="0" fontId="4" fillId="6" borderId="0" xfId="0" applyNumberFormat="1" applyFont="1" applyFill="1" applyBorder="1" applyAlignment="1">
      <alignment vertical="center" wrapText="1"/>
    </xf>
    <xf numFmtId="0" fontId="4" fillId="6" borderId="11" xfId="0" applyNumberFormat="1" applyFont="1" applyFill="1" applyBorder="1" applyAlignment="1">
      <alignment vertical="center" wrapText="1"/>
    </xf>
    <xf numFmtId="0" fontId="4" fillId="6" borderId="12" xfId="0" applyNumberFormat="1" applyFont="1" applyFill="1" applyBorder="1" applyAlignment="1">
      <alignment vertical="center" wrapText="1"/>
    </xf>
    <xf numFmtId="0" fontId="4" fillId="6" borderId="13" xfId="0" applyNumberFormat="1" applyFont="1" applyFill="1" applyBorder="1" applyAlignment="1">
      <alignment vertical="center" wrapText="1"/>
    </xf>
    <xf numFmtId="0" fontId="4" fillId="6" borderId="1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B42318"/>
      </font>
      <fill>
        <patternFill patternType="solid">
          <bgColor rgb="FFFDE7E4"/>
        </patternFill>
      </fill>
    </dxf>
    <dxf>
      <font>
        <b/>
        <color rgb="FF08783E"/>
      </font>
      <fill>
        <patternFill patternType="solid">
          <bgColor rgb="FFDCFCE7"/>
        </patternFill>
      </fill>
    </dxf>
    <dxf>
      <font>
        <b/>
        <color rgb="FFB42318"/>
      </font>
      <fill>
        <patternFill patternType="solid">
          <bgColor rgb="FFFDE7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d206efb482764f2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Indicadores observados por estrato (0–10)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Perú</c:v>
          </c:tx>
          <c:invertIfNegative val="1"/>
          <c:cat>
            <c:strRef>
              <c:f>Graficos!$A$5:$A$9</c:f>
              <c:strCache>
                <c:ptCount val="5"/>
                <c:pt idx="0">
                  <c:v>Gobernanza/riesgo</c:v>
                </c:pt>
                <c:pt idx="1">
                  <c:v>Control de acceso</c:v>
                </c:pt>
                <c:pt idx="2">
                  <c:v>Protección de código</c:v>
                </c:pt>
                <c:pt idx="3">
                  <c:v>Trazabilidad</c:v>
                </c:pt>
                <c:pt idx="4">
                  <c:v>Global observado</c:v>
                </c:pt>
              </c:strCache>
            </c:strRef>
          </c:cat>
          <c:val>
            <c:numRef>
              <c:f>Graficos!$B$5:$B$9</c:f>
              <c:numCache>
                <c:formatCode>0.00</c:formatCode>
                <c:ptCount val="5"/>
                <c:pt idx="0">
                  <c:v>3.5416666666666665</c:v>
                </c:pt>
                <c:pt idx="1">
                  <c:v>0.90277777777777779</c:v>
                </c:pt>
                <c:pt idx="2">
                  <c:v>1</c:v>
                </c:pt>
                <c:pt idx="3">
                  <c:v>3.196829150227257</c:v>
                </c:pt>
                <c:pt idx="4">
                  <c:v>2.1603183986679246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8-48E7-A12F-7642582E5FD8}"/>
            </c:ext>
          </c:extLst>
        </c:ser>
        <c:ser>
          <c:idx val="1"/>
          <c:order val="1"/>
          <c:tx>
            <c:v>Benchmark</c:v>
          </c:tx>
          <c:invertIfNegative val="1"/>
          <c:cat>
            <c:strRef>
              <c:f>Graficos!$A$5:$A$9</c:f>
              <c:strCache>
                <c:ptCount val="5"/>
                <c:pt idx="0">
                  <c:v>Gobernanza/riesgo</c:v>
                </c:pt>
                <c:pt idx="1">
                  <c:v>Control de acceso</c:v>
                </c:pt>
                <c:pt idx="2">
                  <c:v>Protección de código</c:v>
                </c:pt>
                <c:pt idx="3">
                  <c:v>Trazabilidad</c:v>
                </c:pt>
                <c:pt idx="4">
                  <c:v>Global observado</c:v>
                </c:pt>
              </c:strCache>
            </c:strRef>
          </c:cat>
          <c:val>
            <c:numRef>
              <c:f>Graficos!$C$5:$C$9</c:f>
              <c:numCache>
                <c:formatCode>0.00</c:formatCode>
                <c:ptCount val="5"/>
                <c:pt idx="0">
                  <c:v>7.239583333333333</c:v>
                </c:pt>
                <c:pt idx="1">
                  <c:v>2.6388888888888888</c:v>
                </c:pt>
                <c:pt idx="2">
                  <c:v>2.8563422709250674</c:v>
                </c:pt>
                <c:pt idx="3">
                  <c:v>6.0770833333333334</c:v>
                </c:pt>
                <c:pt idx="4">
                  <c:v>4.7029744566201552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8-48E7-A12F-7642582E5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Prevalencia de señales públicas de seguridad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Perú</c:v>
          </c:tx>
          <c:invertIfNegative val="1"/>
          <c:cat>
            <c:strRef>
              <c:f>Graficos!$A$22:$A$30</c:f>
              <c:strCache>
                <c:ptCount val="9"/>
                <c:pt idx="0">
                  <c:v>SECURITY.md</c:v>
                </c:pt>
                <c:pt idx="1">
                  <c:v>CODEOWNERS</c:v>
                </c:pt>
                <c:pt idx="2">
                  <c:v>Dependabot/Renovate</c:v>
                </c:pt>
                <c:pt idx="3">
                  <c:v>Al menos un workflow CI</c:v>
                </c:pt>
                <c:pt idx="4">
                  <c:v>SAST observado</c:v>
                </c:pt>
                <c:pt idx="5">
                  <c:v>Escaneo de secretos</c:v>
                </c:pt>
                <c:pt idx="6">
                  <c:v>Pruebas en workflow</c:v>
                </c:pt>
                <c:pt idx="7">
                  <c:v>Release/publicación</c:v>
                </c:pt>
                <c:pt idx="8">
                  <c:v>Permisos restrictivos explícitos</c:v>
                </c:pt>
              </c:strCache>
            </c:strRef>
          </c:cat>
          <c:val>
            <c:numRef>
              <c:f>Graficos!$B$22:$B$30</c:f>
              <c:numCache>
                <c:formatCode>0%</c:formatCode>
                <c:ptCount val="9"/>
                <c:pt idx="0">
                  <c:v>0.16666666666666666</c:v>
                </c:pt>
                <c:pt idx="1">
                  <c:v>0</c:v>
                </c:pt>
                <c:pt idx="2">
                  <c:v>0.33333333333333331</c:v>
                </c:pt>
                <c:pt idx="3">
                  <c:v>0.5</c:v>
                </c:pt>
                <c:pt idx="4">
                  <c:v>0.16666666666666666</c:v>
                </c:pt>
                <c:pt idx="5">
                  <c:v>0</c:v>
                </c:pt>
                <c:pt idx="6">
                  <c:v>0.29166666666666669</c:v>
                </c:pt>
                <c:pt idx="7">
                  <c:v>0.5</c:v>
                </c:pt>
                <c:pt idx="8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5-4432-8AA1-43D0FF4FF032}"/>
            </c:ext>
          </c:extLst>
        </c:ser>
        <c:ser>
          <c:idx val="1"/>
          <c:order val="1"/>
          <c:tx>
            <c:v>Benchmark</c:v>
          </c:tx>
          <c:invertIfNegative val="1"/>
          <c:cat>
            <c:strRef>
              <c:f>Graficos!$A$22:$A$30</c:f>
              <c:strCache>
                <c:ptCount val="9"/>
                <c:pt idx="0">
                  <c:v>SECURITY.md</c:v>
                </c:pt>
                <c:pt idx="1">
                  <c:v>CODEOWNERS</c:v>
                </c:pt>
                <c:pt idx="2">
                  <c:v>Dependabot/Renovate</c:v>
                </c:pt>
                <c:pt idx="3">
                  <c:v>Al menos un workflow CI</c:v>
                </c:pt>
                <c:pt idx="4">
                  <c:v>SAST observado</c:v>
                </c:pt>
                <c:pt idx="5">
                  <c:v>Escaneo de secretos</c:v>
                </c:pt>
                <c:pt idx="6">
                  <c:v>Pruebas en workflow</c:v>
                </c:pt>
                <c:pt idx="7">
                  <c:v>Release/publicación</c:v>
                </c:pt>
                <c:pt idx="8">
                  <c:v>Permisos restrictivos explícitos</c:v>
                </c:pt>
              </c:strCache>
            </c:strRef>
          </c:cat>
          <c:val>
            <c:numRef>
              <c:f>Graficos!$C$22:$C$30</c:f>
              <c:numCache>
                <c:formatCode>0%</c:formatCode>
                <c:ptCount val="9"/>
                <c:pt idx="0">
                  <c:v>0.5</c:v>
                </c:pt>
                <c:pt idx="1">
                  <c:v>0.20833333333333334</c:v>
                </c:pt>
                <c:pt idx="2">
                  <c:v>0.58333333333333337</c:v>
                </c:pt>
                <c:pt idx="3">
                  <c:v>1</c:v>
                </c:pt>
                <c:pt idx="4">
                  <c:v>0.33333333333333331</c:v>
                </c:pt>
                <c:pt idx="5">
                  <c:v>0</c:v>
                </c:pt>
                <c:pt idx="6">
                  <c:v>0.75</c:v>
                </c:pt>
                <c:pt idx="7">
                  <c:v>0.91666666666666663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5-4432-8AA1-43D0FF4F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Gobernanza/riesgo y trazabilidad observada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Perú</c:v>
          </c:tx>
          <c:xVal>
            <c:numLit>
              <c:ptCount val="0"/>
            </c:numLit>
          </c:xVal>
          <c:yVal>
            <c:numRef>
              <c:f>Datos_repositorios!$AY$2:$AY$25</c:f>
              <c:numCache>
                <c:formatCode>0.00</c:formatCode>
                <c:ptCount val="24"/>
                <c:pt idx="0">
                  <c:v>7.4833333333333343</c:v>
                </c:pt>
                <c:pt idx="1">
                  <c:v>7.25</c:v>
                </c:pt>
                <c:pt idx="2">
                  <c:v>6.6333333333333329</c:v>
                </c:pt>
                <c:pt idx="3">
                  <c:v>3.3333333333333335</c:v>
                </c:pt>
                <c:pt idx="4">
                  <c:v>1.7543859649122808</c:v>
                </c:pt>
                <c:pt idx="5">
                  <c:v>0</c:v>
                </c:pt>
                <c:pt idx="6">
                  <c:v>5.2833333333333341</c:v>
                </c:pt>
                <c:pt idx="7">
                  <c:v>1.9210526315789471</c:v>
                </c:pt>
                <c:pt idx="8">
                  <c:v>3.8137254901960786</c:v>
                </c:pt>
                <c:pt idx="9">
                  <c:v>4.4444444444444438</c:v>
                </c:pt>
                <c:pt idx="10">
                  <c:v>4.2</c:v>
                </c:pt>
                <c:pt idx="11">
                  <c:v>5.2222222222222223</c:v>
                </c:pt>
                <c:pt idx="12">
                  <c:v>7.1833333333333336</c:v>
                </c:pt>
                <c:pt idx="13">
                  <c:v>6.1833333333333336</c:v>
                </c:pt>
                <c:pt idx="14">
                  <c:v>1.6333333333333335</c:v>
                </c:pt>
                <c:pt idx="15">
                  <c:v>0.13513513513513514</c:v>
                </c:pt>
                <c:pt idx="16">
                  <c:v>1.1833333333333333</c:v>
                </c:pt>
                <c:pt idx="17">
                  <c:v>8.3333333333333329E-2</c:v>
                </c:pt>
                <c:pt idx="18">
                  <c:v>0.65217391304347827</c:v>
                </c:pt>
                <c:pt idx="19">
                  <c:v>1.2166666666666668</c:v>
                </c:pt>
                <c:pt idx="20">
                  <c:v>1.3333333333333333</c:v>
                </c:pt>
                <c:pt idx="21">
                  <c:v>2.274509803921569</c:v>
                </c:pt>
                <c:pt idx="22">
                  <c:v>1.8229166666666667</c:v>
                </c:pt>
                <c:pt idx="23">
                  <c:v>1.6833333333333333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92-40FA-B856-C6FC2814604C}"/>
            </c:ext>
          </c:extLst>
        </c:ser>
        <c:ser>
          <c:idx val="1"/>
          <c:order val="1"/>
          <c:tx>
            <c:v>Benchmark</c:v>
          </c:tx>
          <c:xVal>
            <c:numLit>
              <c:ptCount val="0"/>
            </c:numLit>
          </c:xVal>
          <c:yVal>
            <c:numRef>
              <c:f>Datos_repositorios!$AY$26:$AY$49</c:f>
              <c:numCache>
                <c:formatCode>0.00</c:formatCode>
                <c:ptCount val="24"/>
                <c:pt idx="0">
                  <c:v>7.416666666666667</c:v>
                </c:pt>
                <c:pt idx="1">
                  <c:v>7.3666666666666671</c:v>
                </c:pt>
                <c:pt idx="2">
                  <c:v>4.7166666666666677</c:v>
                </c:pt>
                <c:pt idx="3">
                  <c:v>7.333333333333333</c:v>
                </c:pt>
                <c:pt idx="4">
                  <c:v>7.2</c:v>
                </c:pt>
                <c:pt idx="5">
                  <c:v>8.0666666666666682</c:v>
                </c:pt>
                <c:pt idx="6">
                  <c:v>5.75</c:v>
                </c:pt>
                <c:pt idx="7">
                  <c:v>6.7</c:v>
                </c:pt>
                <c:pt idx="8">
                  <c:v>6.1166666666666671</c:v>
                </c:pt>
                <c:pt idx="9">
                  <c:v>6.416666666666667</c:v>
                </c:pt>
                <c:pt idx="10">
                  <c:v>6.7</c:v>
                </c:pt>
                <c:pt idx="11">
                  <c:v>5.9666666666666659</c:v>
                </c:pt>
                <c:pt idx="12">
                  <c:v>6.75</c:v>
                </c:pt>
                <c:pt idx="13">
                  <c:v>1.3166666666666667</c:v>
                </c:pt>
                <c:pt idx="14">
                  <c:v>5</c:v>
                </c:pt>
                <c:pt idx="15">
                  <c:v>6.583333333333333</c:v>
                </c:pt>
                <c:pt idx="16">
                  <c:v>5.2</c:v>
                </c:pt>
                <c:pt idx="17">
                  <c:v>6.666666666666667</c:v>
                </c:pt>
                <c:pt idx="18">
                  <c:v>5.666666666666667</c:v>
                </c:pt>
                <c:pt idx="19">
                  <c:v>5.0333333333333341</c:v>
                </c:pt>
                <c:pt idx="20">
                  <c:v>5.1166666666666663</c:v>
                </c:pt>
                <c:pt idx="21">
                  <c:v>6.8</c:v>
                </c:pt>
                <c:pt idx="22">
                  <c:v>7.75</c:v>
                </c:pt>
                <c:pt idx="23">
                  <c:v>4.2166666666666668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92-40FA-B856-C6FC28146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Trazabilidad observada (0–10)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  <c:max val="1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Gobernanza/riesgo observado (0–10)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40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onna Melody Silva Gurrionero" id="{8211AB5D-E149-4D3C-8CEF-527D3BBA9637}"/>
</xltc:personList>
</file>

<file path=xl/tables/table1.xml><?xml version="1.0" encoding="utf-8"?>
<table xmlns="http://schemas.openxmlformats.org/spreadsheetml/2006/main" id="1" name="OpenRepositoryData" displayName="OpenRepositoryData" ref="A1:BC49" totalsRowShown="0">
  <tableColumns count="55">
    <tableColumn id="1" name="record_id"/>
    <tableColumn id="2" name="stratum"/>
    <tableColumn id="3" name="country"/>
    <tableColumn id="4" name="repository"/>
    <tableColumn id="5" name="owner"/>
    <tableColumn id="6" name="repository_name"/>
    <tableColumn id="7" name="repository_url"/>
    <tableColumn id="8" name="organization_url"/>
    <tableColumn id="9" name="location_evidence"/>
    <tableColumn id="10" name="extraction_datetime_lima"/>
    <tableColumn id="11" name="git_analysis_datetime_lima"/>
    <tableColumn id="12" name="github_api_url"/>
    <tableColumn id="13" name="scorecard_api_url"/>
    <tableColumn id="14" name="github_http_status"/>
    <tableColumn id="15" name="scorecard_http_status"/>
    <tableColumn id="16" name="scorecard_date"/>
    <tableColumn id="17" name="scorecard_overall"/>
    <tableColumn id="18" name="language"/>
    <tableColumn id="19" name="license"/>
    <tableColumn id="20" name="created_at"/>
    <tableColumn id="21" name="pushed_at"/>
    <tableColumn id="22" name="size_kb"/>
    <tableColumn id="23" name="stars"/>
    <tableColumn id="24" name="forks"/>
    <tableColumn id="25" name="open_issues"/>
    <tableColumn id="26" name="tree_file_count"/>
    <tableColumn id="27" name="security_policy_present"/>
    <tableColumn id="28" name="codeowners_present"/>
    <tableColumn id="29" name="dependency_update_present"/>
    <tableColumn id="30" name="ci_workflow_count"/>
    <tableColumn id="31" name="sast_workflow_present"/>
    <tableColumn id="32" name="secret_scanning_workflow_present"/>
    <tableColumn id="33" name="test_workflow_present"/>
    <tableColumn id="34" name="release_workflow_present"/>
    <tableColumn id="35" name="explicit_restricted_permissions"/>
    <tableColumn id="36" name="explicit_broad_write_permissions"/>
    <tableColumn id="37" name="workflow_permission_score"/>
    <tableColumn id="38" name="remote_actions_count"/>
    <tableColumn id="39" name="pinned_actions_count"/>
    <tableColumn id="40" name="pinned_actions_ratio"/>
    <tableColumn id="41" name="commits_analyzed"/>
    <tableColumn id="42" name="commits_last_90d"/>
    <tableColumn id="43" name="contributors_last_100_commits"/>
    <tableColumn id="44" name="conventional_commit_ratio"/>
    <tableColumn id="45" name="issue_reference_ratio"/>
    <tableColumn id="46" name="merge_commit_ratio"/>
    <tableColumn id="47" name="signed_commit_ratio_detected"/>
    <tableColumn id="48" name="risk_governance_observed"/>
    <tableColumn id="49" name="access_control_observed"/>
    <tableColumn id="50" name="source_code_protection_observed"/>
    <tableColumn id="51" name="traceability_observed"/>
    <tableColumn id="52" name="observed_overall"/>
    <tableColumn id="53" name="available_scorecard_checks"/>
    <tableColumn id="54" name="total_returned_checks"/>
    <tableColumn id="55" name="git_clon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nSSFChecks" displayName="OpenSSFChecks" ref="A1:H304" totalsRowShown="0">
  <tableColumns count="8">
    <tableColumn id="1" name="repository"/>
    <tableColumn id="2" name="stratum"/>
    <tableColumn id="3" name="check_name"/>
    <tableColumn id="4" name="check_score_0_10"/>
    <tableColumn id="5" name="reason"/>
    <tableColumn id="6" name="scorecard_date"/>
    <tableColumn id="7" name="scorecard_api_url"/>
    <tableColumn id="8" name="http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tionary" displayName="Dictionary" ref="A1:F31" totalsRowShown="0">
  <tableColumns count="6">
    <tableColumn id="1" name="variable"/>
    <tableColumn id="2" name="grupo"/>
    <tableColumn id="3" name="definición operacional"/>
    <tableColumn id="4" name="tipo/escala"/>
    <tableColumn id="5" name="procedencia"/>
    <tableColumn id="6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Traceability" displayName="SourceTraceability" ref="A4:J52" totalsRowShown="0">
  <tableColumns count="10">
    <tableColumn id="1" name="record_id"/>
    <tableColumn id="2" name="repository"/>
    <tableColumn id="3" name="stratum"/>
    <tableColumn id="4" name="repository_url"/>
    <tableColumn id="5" name="organization_url"/>
    <tableColumn id="6" name="location_evidence"/>
    <tableColumn id="7" name="github_api_url"/>
    <tableColumn id="8" name="scorecard_api_url"/>
    <tableColumn id="9" name="extraction_datetime_lima"/>
    <tableColumn id="10" name="st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workbookViewId="0">
      <selection activeCell="A21" sqref="A21:H25"/>
    </sheetView>
  </sheetViews>
  <sheetFormatPr baseColWidth="10" defaultColWidth="9" defaultRowHeight="14.25"/>
  <cols>
    <col min="1" max="1" width="27" customWidth="1"/>
    <col min="2" max="2" width="92" customWidth="1"/>
  </cols>
  <sheetData>
    <row r="1" spans="1:8" ht="32.1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</row>
    <row r="2" spans="1:8" ht="32.1" customHeight="1">
      <c r="A2" s="12" t="s">
        <v>0</v>
      </c>
      <c r="B2" s="12" t="s">
        <v>0</v>
      </c>
      <c r="C2" s="12" t="s">
        <v>0</v>
      </c>
      <c r="D2" s="12" t="s">
        <v>0</v>
      </c>
      <c r="E2" s="12" t="s">
        <v>0</v>
      </c>
      <c r="F2" s="12" t="s">
        <v>0</v>
      </c>
      <c r="G2" s="12" t="s">
        <v>0</v>
      </c>
      <c r="H2" s="12" t="s">
        <v>0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13" t="s">
        <v>1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5" t="s">
        <v>1</v>
      </c>
    </row>
    <row r="5" spans="1:8">
      <c r="A5" s="16" t="s">
        <v>1</v>
      </c>
      <c r="B5" s="17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8" t="s">
        <v>1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 ht="33.950000000000003" customHeight="1">
      <c r="A7" s="1" t="s">
        <v>2</v>
      </c>
      <c r="B7" s="1" t="s">
        <v>3</v>
      </c>
      <c r="C7" s="2"/>
      <c r="D7" s="2"/>
      <c r="E7" s="2"/>
      <c r="F7" s="2"/>
      <c r="G7" s="2"/>
      <c r="H7" s="2"/>
    </row>
    <row r="8" spans="1:8" ht="25.5">
      <c r="A8" s="3" t="s">
        <v>4</v>
      </c>
      <c r="B8" s="4" t="s">
        <v>5</v>
      </c>
      <c r="C8" s="2"/>
      <c r="D8" s="2"/>
      <c r="E8" s="2"/>
      <c r="F8" s="2"/>
      <c r="G8" s="2"/>
      <c r="H8" s="2"/>
    </row>
    <row r="9" spans="1:8">
      <c r="A9" s="3" t="s">
        <v>6</v>
      </c>
      <c r="B9" s="4" t="s">
        <v>7</v>
      </c>
      <c r="C9" s="2"/>
      <c r="D9" s="2"/>
      <c r="E9" s="2"/>
      <c r="F9" s="2"/>
      <c r="G9" s="2"/>
      <c r="H9" s="2"/>
    </row>
    <row r="10" spans="1:8">
      <c r="A10" s="3" t="s">
        <v>8</v>
      </c>
      <c r="B10" s="4" t="s">
        <v>9</v>
      </c>
      <c r="C10" s="2"/>
      <c r="D10" s="2"/>
      <c r="E10" s="2"/>
      <c r="F10" s="2"/>
      <c r="G10" s="2"/>
      <c r="H10" s="2"/>
    </row>
    <row r="11" spans="1:8">
      <c r="A11" s="3" t="s">
        <v>10</v>
      </c>
      <c r="B11" s="4" t="s">
        <v>11</v>
      </c>
      <c r="C11" s="2"/>
      <c r="D11" s="2"/>
      <c r="E11" s="2"/>
      <c r="F11" s="2"/>
      <c r="G11" s="2"/>
      <c r="H11" s="2"/>
    </row>
    <row r="12" spans="1:8">
      <c r="A12" s="3" t="s">
        <v>12</v>
      </c>
      <c r="B12" s="4" t="s">
        <v>13</v>
      </c>
      <c r="C12" s="2"/>
      <c r="D12" s="2"/>
      <c r="E12" s="2"/>
      <c r="F12" s="2"/>
      <c r="G12" s="2"/>
      <c r="H12" s="2"/>
    </row>
    <row r="13" spans="1:8">
      <c r="A13" s="3" t="s">
        <v>14</v>
      </c>
      <c r="B13" s="4" t="s">
        <v>15</v>
      </c>
      <c r="C13" s="2"/>
      <c r="D13" s="2"/>
      <c r="E13" s="2"/>
      <c r="F13" s="2"/>
      <c r="G13" s="2"/>
      <c r="H13" s="2"/>
    </row>
    <row r="14" spans="1:8">
      <c r="A14" s="3" t="s">
        <v>16</v>
      </c>
      <c r="B14" s="4" t="s">
        <v>17</v>
      </c>
      <c r="C14" s="2"/>
      <c r="D14" s="2"/>
      <c r="E14" s="2"/>
      <c r="F14" s="2"/>
      <c r="G14" s="2"/>
      <c r="H14" s="2"/>
    </row>
    <row r="15" spans="1:8">
      <c r="A15" s="3" t="s">
        <v>18</v>
      </c>
      <c r="B15" s="4" t="s">
        <v>19</v>
      </c>
      <c r="C15" s="2"/>
      <c r="D15" s="2"/>
      <c r="E15" s="2"/>
      <c r="F15" s="2"/>
      <c r="G15" s="2"/>
      <c r="H15" s="2"/>
    </row>
    <row r="16" spans="1:8">
      <c r="A16" s="3" t="s">
        <v>20</v>
      </c>
      <c r="B16" s="4" t="s">
        <v>21</v>
      </c>
      <c r="C16" s="2"/>
      <c r="D16" s="2"/>
      <c r="E16" s="2"/>
      <c r="F16" s="2"/>
      <c r="G16" s="2"/>
      <c r="H16" s="2"/>
    </row>
    <row r="17" spans="1:8">
      <c r="A17" s="3" t="s">
        <v>22</v>
      </c>
      <c r="B17" s="4" t="s">
        <v>23</v>
      </c>
      <c r="C17" s="2"/>
      <c r="D17" s="2"/>
      <c r="E17" s="2"/>
      <c r="F17" s="2"/>
      <c r="G17" s="2"/>
      <c r="H17" s="2"/>
    </row>
    <row r="18" spans="1:8">
      <c r="A18" s="3" t="s">
        <v>24</v>
      </c>
      <c r="B18" s="4" t="s">
        <v>25</v>
      </c>
      <c r="C18" s="2"/>
      <c r="D18" s="2"/>
      <c r="E18" s="2"/>
      <c r="F18" s="2"/>
      <c r="G18" s="2"/>
      <c r="H18" s="2"/>
    </row>
    <row r="19" spans="1:8">
      <c r="A19" s="3" t="s">
        <v>26</v>
      </c>
      <c r="B19" s="4" t="s">
        <v>27</v>
      </c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19" t="s">
        <v>28</v>
      </c>
      <c r="B21" s="20" t="s">
        <v>28</v>
      </c>
      <c r="C21" s="20" t="s">
        <v>28</v>
      </c>
      <c r="D21" s="20" t="s">
        <v>28</v>
      </c>
      <c r="E21" s="20" t="s">
        <v>28</v>
      </c>
      <c r="F21" s="20" t="s">
        <v>28</v>
      </c>
      <c r="G21" s="20" t="s">
        <v>28</v>
      </c>
      <c r="H21" s="21" t="s">
        <v>28</v>
      </c>
    </row>
    <row r="22" spans="1:8">
      <c r="A22" s="22" t="s">
        <v>28</v>
      </c>
      <c r="B22" s="23" t="s">
        <v>28</v>
      </c>
      <c r="C22" s="23" t="s">
        <v>28</v>
      </c>
      <c r="D22" s="23" t="s">
        <v>28</v>
      </c>
      <c r="E22" s="23" t="s">
        <v>28</v>
      </c>
      <c r="F22" s="23" t="s">
        <v>28</v>
      </c>
      <c r="G22" s="23" t="s">
        <v>28</v>
      </c>
      <c r="H22" s="24" t="s">
        <v>28</v>
      </c>
    </row>
    <row r="23" spans="1:8">
      <c r="A23" s="22" t="s">
        <v>28</v>
      </c>
      <c r="B23" s="23" t="s">
        <v>28</v>
      </c>
      <c r="C23" s="23" t="s">
        <v>28</v>
      </c>
      <c r="D23" s="23" t="s">
        <v>28</v>
      </c>
      <c r="E23" s="23" t="s">
        <v>28</v>
      </c>
      <c r="F23" s="23" t="s">
        <v>28</v>
      </c>
      <c r="G23" s="23" t="s">
        <v>28</v>
      </c>
      <c r="H23" s="24" t="s">
        <v>28</v>
      </c>
    </row>
    <row r="24" spans="1:8">
      <c r="A24" s="22" t="s">
        <v>28</v>
      </c>
      <c r="B24" s="23" t="s">
        <v>28</v>
      </c>
      <c r="C24" s="23" t="s">
        <v>28</v>
      </c>
      <c r="D24" s="23" t="s">
        <v>28</v>
      </c>
      <c r="E24" s="23" t="s">
        <v>28</v>
      </c>
      <c r="F24" s="23" t="s">
        <v>28</v>
      </c>
      <c r="G24" s="23" t="s">
        <v>28</v>
      </c>
      <c r="H24" s="24" t="s">
        <v>28</v>
      </c>
    </row>
    <row r="25" spans="1:8">
      <c r="A25" s="25" t="s">
        <v>28</v>
      </c>
      <c r="B25" s="26" t="s">
        <v>28</v>
      </c>
      <c r="C25" s="26" t="s">
        <v>28</v>
      </c>
      <c r="D25" s="26" t="s">
        <v>28</v>
      </c>
      <c r="E25" s="26" t="s">
        <v>28</v>
      </c>
      <c r="F25" s="26" t="s">
        <v>28</v>
      </c>
      <c r="G25" s="26" t="s">
        <v>28</v>
      </c>
      <c r="H25" s="27" t="s">
        <v>28</v>
      </c>
    </row>
  </sheetData>
  <mergeCells count="3">
    <mergeCell ref="A1:H2"/>
    <mergeCell ref="A4:H5"/>
    <mergeCell ref="A21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9"/>
  <sheetViews>
    <sheetView showGridLines="0" topLeftCell="AT1" workbookViewId="0">
      <selection activeCell="G2" sqref="G2"/>
    </sheetView>
  </sheetViews>
  <sheetFormatPr baseColWidth="10" defaultColWidth="9" defaultRowHeight="14.25"/>
  <cols>
    <col min="1" max="3" width="18" customWidth="1"/>
    <col min="4" max="4" width="35" customWidth="1"/>
    <col min="5" max="6" width="18" customWidth="1"/>
    <col min="7" max="8" width="30" customWidth="1"/>
    <col min="9" max="9" width="43" customWidth="1"/>
    <col min="10" max="13" width="30" customWidth="1"/>
    <col min="14" max="55" width="15" customWidth="1"/>
  </cols>
  <sheetData>
    <row r="1" spans="1:55" ht="33.950000000000003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</row>
    <row r="2" spans="1:55">
      <c r="A2" s="2">
        <v>1</v>
      </c>
      <c r="B2" s="2" t="s">
        <v>84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11</v>
      </c>
      <c r="K2" s="2" t="s">
        <v>13</v>
      </c>
      <c r="L2" s="2" t="s">
        <v>91</v>
      </c>
      <c r="M2" s="2" t="s">
        <v>92</v>
      </c>
      <c r="N2" s="2">
        <v>200</v>
      </c>
      <c r="O2" s="2">
        <v>406</v>
      </c>
      <c r="P2" s="5"/>
      <c r="Q2" s="2"/>
      <c r="R2" s="2" t="s">
        <v>93</v>
      </c>
      <c r="S2" s="2" t="s">
        <v>94</v>
      </c>
      <c r="T2" s="5">
        <v>45728.778252314813</v>
      </c>
      <c r="U2" s="5">
        <v>46230.350300925929</v>
      </c>
      <c r="V2" s="2">
        <v>296</v>
      </c>
      <c r="W2" s="2">
        <v>11</v>
      </c>
      <c r="X2" s="2">
        <v>0</v>
      </c>
      <c r="Y2" s="2">
        <v>2</v>
      </c>
      <c r="Z2" s="2">
        <v>23</v>
      </c>
      <c r="AA2" s="2">
        <v>0</v>
      </c>
      <c r="AB2" s="2">
        <v>0</v>
      </c>
      <c r="AC2" s="2">
        <v>1</v>
      </c>
      <c r="AD2" s="2">
        <v>5</v>
      </c>
      <c r="AE2" s="2">
        <v>0</v>
      </c>
      <c r="AF2" s="2">
        <v>0</v>
      </c>
      <c r="AG2" s="2">
        <v>1</v>
      </c>
      <c r="AH2" s="2">
        <v>1</v>
      </c>
      <c r="AI2" s="2">
        <v>1</v>
      </c>
      <c r="AJ2" s="2">
        <v>1</v>
      </c>
      <c r="AK2" s="2">
        <v>5</v>
      </c>
      <c r="AL2" s="2">
        <v>22</v>
      </c>
      <c r="AM2" s="2">
        <v>0</v>
      </c>
      <c r="AN2" s="6">
        <v>0</v>
      </c>
      <c r="AO2" s="2">
        <v>100</v>
      </c>
      <c r="AP2" s="2">
        <v>21</v>
      </c>
      <c r="AQ2" s="2">
        <v>2</v>
      </c>
      <c r="AR2" s="6">
        <v>0.48</v>
      </c>
      <c r="AS2" s="6">
        <v>1</v>
      </c>
      <c r="AT2" s="6">
        <v>0.01</v>
      </c>
      <c r="AU2" s="6">
        <v>0</v>
      </c>
      <c r="AV2" s="7">
        <f t="shared" ref="AV2:AV49" si="0">AVERAGE(AA2*10,AC2*10,MIN(AP2/10,1)*10,IF(OR(S2="",S2="NOASSERTION"),0,10))</f>
        <v>7.5</v>
      </c>
      <c r="AW2" s="7">
        <f t="shared" ref="AW2:AW49" si="1">IF(AK2="",AVERAGE(AB2*10,AU2*10),AVERAGE(AB2*10,AK2,AU2*10))</f>
        <v>1.6666666666666667</v>
      </c>
      <c r="AX2" s="7">
        <f t="shared" ref="AX2:AX49" si="2">IF(AN2="",AVERAGE(AE2*10,AF2*10,AC2*10,AU2*10),AVERAGE(AE2*10,AF2*10,AC2*10,AN2*10,AU2*10))</f>
        <v>2</v>
      </c>
      <c r="AY2" s="7">
        <f t="shared" ref="AY2:AY49" si="3">AVERAGE(MIN(AP2/10,1)*10,AR2*10,AS2*10,AT2*10,AG2*10,AH2*10)</f>
        <v>7.4833333333333343</v>
      </c>
      <c r="AZ2" s="7">
        <f t="shared" ref="AZ2:AZ49" si="4">AVERAGE(AV2:AY2)</f>
        <v>4.6624999999999996</v>
      </c>
      <c r="BA2" s="2">
        <v>0</v>
      </c>
      <c r="BB2" s="2">
        <v>0</v>
      </c>
      <c r="BC2" s="2" t="s">
        <v>95</v>
      </c>
    </row>
    <row r="3" spans="1:55">
      <c r="A3" s="2">
        <v>2</v>
      </c>
      <c r="B3" s="2" t="s">
        <v>84</v>
      </c>
      <c r="C3" s="2" t="s">
        <v>84</v>
      </c>
      <c r="D3" s="2" t="s">
        <v>96</v>
      </c>
      <c r="E3" s="2" t="s">
        <v>86</v>
      </c>
      <c r="F3" s="2" t="s">
        <v>97</v>
      </c>
      <c r="G3" s="2" t="s">
        <v>98</v>
      </c>
      <c r="H3" s="2" t="s">
        <v>89</v>
      </c>
      <c r="I3" s="2" t="s">
        <v>90</v>
      </c>
      <c r="J3" s="2" t="s">
        <v>11</v>
      </c>
      <c r="K3" s="2" t="s">
        <v>13</v>
      </c>
      <c r="L3" s="2" t="s">
        <v>99</v>
      </c>
      <c r="M3" s="2" t="s">
        <v>100</v>
      </c>
      <c r="N3" s="2">
        <v>200</v>
      </c>
      <c r="O3" s="2">
        <v>406</v>
      </c>
      <c r="P3" s="5"/>
      <c r="Q3" s="2"/>
      <c r="R3" s="2" t="s">
        <v>93</v>
      </c>
      <c r="S3" s="2" t="s">
        <v>94</v>
      </c>
      <c r="T3" s="5">
        <v>45578.841053240743</v>
      </c>
      <c r="U3" s="5">
        <v>46230.280497685184</v>
      </c>
      <c r="V3" s="2">
        <v>283</v>
      </c>
      <c r="W3" s="2">
        <v>8</v>
      </c>
      <c r="X3" s="2">
        <v>0</v>
      </c>
      <c r="Y3" s="2">
        <v>3</v>
      </c>
      <c r="Z3" s="2">
        <v>22</v>
      </c>
      <c r="AA3" s="2">
        <v>0</v>
      </c>
      <c r="AB3" s="2">
        <v>0</v>
      </c>
      <c r="AC3" s="2">
        <v>1</v>
      </c>
      <c r="AD3" s="2">
        <v>5</v>
      </c>
      <c r="AE3" s="2">
        <v>0</v>
      </c>
      <c r="AF3" s="2">
        <v>0</v>
      </c>
      <c r="AG3" s="2">
        <v>1</v>
      </c>
      <c r="AH3" s="2">
        <v>1</v>
      </c>
      <c r="AI3" s="2">
        <v>1</v>
      </c>
      <c r="AJ3" s="2">
        <v>1</v>
      </c>
      <c r="AK3" s="2">
        <v>5</v>
      </c>
      <c r="AL3" s="2">
        <v>25</v>
      </c>
      <c r="AM3" s="2">
        <v>0</v>
      </c>
      <c r="AN3" s="6">
        <v>0</v>
      </c>
      <c r="AO3" s="2">
        <v>100</v>
      </c>
      <c r="AP3" s="2">
        <v>18</v>
      </c>
      <c r="AQ3" s="2">
        <v>2</v>
      </c>
      <c r="AR3" s="6">
        <v>0.37</v>
      </c>
      <c r="AS3" s="6">
        <v>0.98</v>
      </c>
      <c r="AT3" s="6">
        <v>0</v>
      </c>
      <c r="AU3" s="6">
        <v>0</v>
      </c>
      <c r="AV3" s="7">
        <f t="shared" si="0"/>
        <v>7.5</v>
      </c>
      <c r="AW3" s="7">
        <f t="shared" si="1"/>
        <v>1.6666666666666667</v>
      </c>
      <c r="AX3" s="7">
        <f t="shared" si="2"/>
        <v>2</v>
      </c>
      <c r="AY3" s="7">
        <f t="shared" si="3"/>
        <v>7.25</v>
      </c>
      <c r="AZ3" s="7">
        <f t="shared" si="4"/>
        <v>4.6041666666666661</v>
      </c>
      <c r="BA3" s="2">
        <v>0</v>
      </c>
      <c r="BB3" s="2">
        <v>0</v>
      </c>
      <c r="BC3" s="2" t="s">
        <v>95</v>
      </c>
    </row>
    <row r="4" spans="1:55">
      <c r="A4" s="2">
        <v>3</v>
      </c>
      <c r="B4" s="2" t="s">
        <v>84</v>
      </c>
      <c r="C4" s="2" t="s">
        <v>84</v>
      </c>
      <c r="D4" s="2" t="s">
        <v>101</v>
      </c>
      <c r="E4" s="2" t="s">
        <v>86</v>
      </c>
      <c r="F4" s="2" t="s">
        <v>102</v>
      </c>
      <c r="G4" s="2" t="s">
        <v>103</v>
      </c>
      <c r="H4" s="2" t="s">
        <v>89</v>
      </c>
      <c r="I4" s="2" t="s">
        <v>90</v>
      </c>
      <c r="J4" s="2" t="s">
        <v>11</v>
      </c>
      <c r="K4" s="2" t="s">
        <v>13</v>
      </c>
      <c r="L4" s="2" t="s">
        <v>104</v>
      </c>
      <c r="M4" s="2" t="s">
        <v>105</v>
      </c>
      <c r="N4" s="2">
        <v>200</v>
      </c>
      <c r="O4" s="2">
        <v>406</v>
      </c>
      <c r="P4" s="5"/>
      <c r="Q4" s="2"/>
      <c r="R4" s="2" t="s">
        <v>93</v>
      </c>
      <c r="S4" s="2" t="s">
        <v>94</v>
      </c>
      <c r="T4" s="5">
        <v>45540.76699074074</v>
      </c>
      <c r="U4" s="5">
        <v>46230.106990740744</v>
      </c>
      <c r="V4" s="2">
        <v>435</v>
      </c>
      <c r="W4" s="2">
        <v>47</v>
      </c>
      <c r="X4" s="2">
        <v>0</v>
      </c>
      <c r="Y4" s="2">
        <v>1</v>
      </c>
      <c r="Z4" s="2">
        <v>23</v>
      </c>
      <c r="AA4" s="2">
        <v>0</v>
      </c>
      <c r="AB4" s="2">
        <v>0</v>
      </c>
      <c r="AC4" s="2">
        <v>1</v>
      </c>
      <c r="AD4" s="2">
        <v>5</v>
      </c>
      <c r="AE4" s="2">
        <v>0</v>
      </c>
      <c r="AF4" s="2">
        <v>0</v>
      </c>
      <c r="AG4" s="2">
        <v>1</v>
      </c>
      <c r="AH4" s="2">
        <v>1</v>
      </c>
      <c r="AI4" s="2">
        <v>1</v>
      </c>
      <c r="AJ4" s="2">
        <v>1</v>
      </c>
      <c r="AK4" s="2">
        <v>5</v>
      </c>
      <c r="AL4" s="2">
        <v>25</v>
      </c>
      <c r="AM4" s="2">
        <v>0</v>
      </c>
      <c r="AN4" s="6">
        <v>0</v>
      </c>
      <c r="AO4" s="2">
        <v>100</v>
      </c>
      <c r="AP4" s="2">
        <v>15</v>
      </c>
      <c r="AQ4" s="2">
        <v>2</v>
      </c>
      <c r="AR4" s="6">
        <v>0</v>
      </c>
      <c r="AS4" s="6">
        <v>0.98</v>
      </c>
      <c r="AT4" s="6">
        <v>0</v>
      </c>
      <c r="AU4" s="6">
        <v>0</v>
      </c>
      <c r="AV4" s="7">
        <f t="shared" si="0"/>
        <v>7.5</v>
      </c>
      <c r="AW4" s="7">
        <f t="shared" si="1"/>
        <v>1.6666666666666667</v>
      </c>
      <c r="AX4" s="7">
        <f t="shared" si="2"/>
        <v>2</v>
      </c>
      <c r="AY4" s="7">
        <f t="shared" si="3"/>
        <v>6.6333333333333329</v>
      </c>
      <c r="AZ4" s="7">
        <f t="shared" si="4"/>
        <v>4.4499999999999993</v>
      </c>
      <c r="BA4" s="2">
        <v>0</v>
      </c>
      <c r="BB4" s="2">
        <v>0</v>
      </c>
      <c r="BC4" s="2" t="s">
        <v>95</v>
      </c>
    </row>
    <row r="5" spans="1:55">
      <c r="A5" s="2">
        <v>4</v>
      </c>
      <c r="B5" s="2" t="s">
        <v>84</v>
      </c>
      <c r="C5" s="2" t="s">
        <v>84</v>
      </c>
      <c r="D5" s="2" t="s">
        <v>106</v>
      </c>
      <c r="E5" s="2" t="s">
        <v>86</v>
      </c>
      <c r="F5" s="2" t="s">
        <v>107</v>
      </c>
      <c r="G5" s="2" t="s">
        <v>108</v>
      </c>
      <c r="H5" s="2" t="s">
        <v>89</v>
      </c>
      <c r="I5" s="2" t="s">
        <v>90</v>
      </c>
      <c r="J5" s="2" t="s">
        <v>11</v>
      </c>
      <c r="K5" s="2" t="s">
        <v>13</v>
      </c>
      <c r="L5" s="2" t="s">
        <v>109</v>
      </c>
      <c r="M5" s="2" t="s">
        <v>110</v>
      </c>
      <c r="N5" s="2">
        <v>200</v>
      </c>
      <c r="O5" s="2">
        <v>406</v>
      </c>
      <c r="P5" s="5"/>
      <c r="Q5" s="2"/>
      <c r="R5" s="2" t="s">
        <v>93</v>
      </c>
      <c r="S5" s="2" t="s">
        <v>94</v>
      </c>
      <c r="T5" s="5">
        <v>45583.211238425924</v>
      </c>
      <c r="U5" s="5">
        <v>45992.8280787037</v>
      </c>
      <c r="V5" s="2">
        <v>1269</v>
      </c>
      <c r="W5" s="2">
        <v>130</v>
      </c>
      <c r="X5" s="2">
        <v>7</v>
      </c>
      <c r="Y5" s="2">
        <v>8</v>
      </c>
      <c r="Z5" s="2">
        <v>122</v>
      </c>
      <c r="AA5" s="2">
        <v>0</v>
      </c>
      <c r="AB5" s="2">
        <v>0</v>
      </c>
      <c r="AC5" s="2">
        <v>1</v>
      </c>
      <c r="AD5" s="2">
        <v>2</v>
      </c>
      <c r="AE5" s="2">
        <v>0</v>
      </c>
      <c r="AF5" s="2">
        <v>0</v>
      </c>
      <c r="AG5" s="2">
        <v>1</v>
      </c>
      <c r="AH5" s="2">
        <v>1</v>
      </c>
      <c r="AI5" s="2">
        <v>1</v>
      </c>
      <c r="AJ5" s="2">
        <v>0</v>
      </c>
      <c r="AK5" s="2">
        <v>10</v>
      </c>
      <c r="AL5" s="2">
        <v>11</v>
      </c>
      <c r="AM5" s="2">
        <v>0</v>
      </c>
      <c r="AN5" s="6">
        <v>0</v>
      </c>
      <c r="AO5" s="2">
        <v>100</v>
      </c>
      <c r="AP5" s="2">
        <v>0</v>
      </c>
      <c r="AQ5" s="2">
        <v>1</v>
      </c>
      <c r="AR5" s="6">
        <v>0</v>
      </c>
      <c r="AS5" s="6">
        <v>0</v>
      </c>
      <c r="AT5" s="6">
        <v>0</v>
      </c>
      <c r="AU5" s="6">
        <v>0</v>
      </c>
      <c r="AV5" s="7">
        <f t="shared" si="0"/>
        <v>5</v>
      </c>
      <c r="AW5" s="7">
        <f t="shared" si="1"/>
        <v>3.3333333333333335</v>
      </c>
      <c r="AX5" s="7">
        <f t="shared" si="2"/>
        <v>2</v>
      </c>
      <c r="AY5" s="7">
        <f t="shared" si="3"/>
        <v>3.3333333333333335</v>
      </c>
      <c r="AZ5" s="7">
        <f t="shared" si="4"/>
        <v>3.416666666666667</v>
      </c>
      <c r="BA5" s="2">
        <v>0</v>
      </c>
      <c r="BB5" s="2">
        <v>0</v>
      </c>
      <c r="BC5" s="2" t="s">
        <v>95</v>
      </c>
    </row>
    <row r="6" spans="1:55">
      <c r="A6" s="2">
        <v>5</v>
      </c>
      <c r="B6" s="2" t="s">
        <v>84</v>
      </c>
      <c r="C6" s="2" t="s">
        <v>84</v>
      </c>
      <c r="D6" s="2" t="s">
        <v>111</v>
      </c>
      <c r="E6" s="2" t="s">
        <v>112</v>
      </c>
      <c r="F6" s="2" t="s">
        <v>113</v>
      </c>
      <c r="G6" s="2" t="s">
        <v>114</v>
      </c>
      <c r="H6" s="2" t="s">
        <v>115</v>
      </c>
      <c r="I6" s="2" t="s">
        <v>90</v>
      </c>
      <c r="J6" s="2" t="s">
        <v>11</v>
      </c>
      <c r="K6" s="2" t="s">
        <v>13</v>
      </c>
      <c r="L6" s="2" t="s">
        <v>116</v>
      </c>
      <c r="M6" s="2" t="s">
        <v>117</v>
      </c>
      <c r="N6" s="2">
        <v>200</v>
      </c>
      <c r="O6" s="2">
        <v>406</v>
      </c>
      <c r="P6" s="5"/>
      <c r="Q6" s="2"/>
      <c r="R6" s="2" t="s">
        <v>118</v>
      </c>
      <c r="S6" s="2" t="s">
        <v>94</v>
      </c>
      <c r="T6" s="5">
        <v>45615.299525462964</v>
      </c>
      <c r="U6" s="5">
        <v>46229.734456018516</v>
      </c>
      <c r="V6" s="2">
        <v>6039</v>
      </c>
      <c r="W6" s="2">
        <v>33</v>
      </c>
      <c r="X6" s="2">
        <v>10</v>
      </c>
      <c r="Y6" s="2">
        <v>0</v>
      </c>
      <c r="Z6" s="2">
        <v>137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/>
      <c r="AL6" s="2">
        <v>0</v>
      </c>
      <c r="AM6" s="2">
        <v>0</v>
      </c>
      <c r="AN6" s="6"/>
      <c r="AO6" s="2">
        <v>95</v>
      </c>
      <c r="AP6" s="2">
        <v>13</v>
      </c>
      <c r="AQ6" s="2">
        <v>3</v>
      </c>
      <c r="AR6" s="6">
        <v>0</v>
      </c>
      <c r="AS6" s="6">
        <v>0</v>
      </c>
      <c r="AT6" s="6">
        <v>5.2631578947368418E-2</v>
      </c>
      <c r="AU6" s="6">
        <v>0</v>
      </c>
      <c r="AV6" s="7">
        <f t="shared" si="0"/>
        <v>5</v>
      </c>
      <c r="AW6" s="7">
        <f t="shared" si="1"/>
        <v>0</v>
      </c>
      <c r="AX6" s="7">
        <f t="shared" si="2"/>
        <v>0</v>
      </c>
      <c r="AY6" s="7">
        <f t="shared" si="3"/>
        <v>1.7543859649122808</v>
      </c>
      <c r="AZ6" s="7">
        <f t="shared" si="4"/>
        <v>1.6885964912280702</v>
      </c>
      <c r="BA6" s="2">
        <v>0</v>
      </c>
      <c r="BB6" s="2">
        <v>0</v>
      </c>
      <c r="BC6" s="2" t="s">
        <v>95</v>
      </c>
    </row>
    <row r="7" spans="1:55">
      <c r="A7" s="2">
        <v>6</v>
      </c>
      <c r="B7" s="2" t="s">
        <v>84</v>
      </c>
      <c r="C7" s="2" t="s">
        <v>84</v>
      </c>
      <c r="D7" s="2" t="s">
        <v>119</v>
      </c>
      <c r="E7" s="2" t="s">
        <v>112</v>
      </c>
      <c r="F7" s="2" t="s">
        <v>120</v>
      </c>
      <c r="G7" s="2" t="s">
        <v>121</v>
      </c>
      <c r="H7" s="2" t="s">
        <v>115</v>
      </c>
      <c r="I7" s="2" t="s">
        <v>90</v>
      </c>
      <c r="J7" s="2" t="s">
        <v>11</v>
      </c>
      <c r="K7" s="2" t="s">
        <v>13</v>
      </c>
      <c r="L7" s="2" t="s">
        <v>122</v>
      </c>
      <c r="M7" s="2" t="s">
        <v>123</v>
      </c>
      <c r="N7" s="2">
        <v>200</v>
      </c>
      <c r="O7" s="2">
        <v>406</v>
      </c>
      <c r="P7" s="5"/>
      <c r="Q7" s="2"/>
      <c r="R7" s="2" t="s">
        <v>118</v>
      </c>
      <c r="S7" s="2" t="s">
        <v>94</v>
      </c>
      <c r="T7" s="5">
        <v>45474.200266203705</v>
      </c>
      <c r="U7" s="5">
        <v>45475.703750000001</v>
      </c>
      <c r="V7" s="2">
        <v>68</v>
      </c>
      <c r="W7" s="2">
        <v>2</v>
      </c>
      <c r="X7" s="2">
        <v>0</v>
      </c>
      <c r="Y7" s="2">
        <v>0</v>
      </c>
      <c r="Z7" s="2">
        <v>17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/>
      <c r="AL7" s="2">
        <v>0</v>
      </c>
      <c r="AM7" s="2">
        <v>0</v>
      </c>
      <c r="AN7" s="6"/>
      <c r="AO7" s="2">
        <v>5</v>
      </c>
      <c r="AP7" s="2">
        <v>0</v>
      </c>
      <c r="AQ7" s="2">
        <v>2</v>
      </c>
      <c r="AR7" s="6">
        <v>0</v>
      </c>
      <c r="AS7" s="6">
        <v>0</v>
      </c>
      <c r="AT7" s="6">
        <v>0</v>
      </c>
      <c r="AU7" s="6">
        <v>0</v>
      </c>
      <c r="AV7" s="7">
        <f t="shared" si="0"/>
        <v>2.5</v>
      </c>
      <c r="AW7" s="7">
        <f t="shared" si="1"/>
        <v>0</v>
      </c>
      <c r="AX7" s="7">
        <f t="shared" si="2"/>
        <v>0</v>
      </c>
      <c r="AY7" s="7">
        <f t="shared" si="3"/>
        <v>0</v>
      </c>
      <c r="AZ7" s="7">
        <f t="shared" si="4"/>
        <v>0.625</v>
      </c>
      <c r="BA7" s="2">
        <v>0</v>
      </c>
      <c r="BB7" s="2">
        <v>0</v>
      </c>
      <c r="BC7" s="2" t="s">
        <v>95</v>
      </c>
    </row>
    <row r="8" spans="1:55">
      <c r="A8" s="2">
        <v>7</v>
      </c>
      <c r="B8" s="2" t="s">
        <v>84</v>
      </c>
      <c r="C8" s="2" t="s">
        <v>84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129</v>
      </c>
      <c r="J8" s="2" t="s">
        <v>11</v>
      </c>
      <c r="K8" s="2" t="s">
        <v>13</v>
      </c>
      <c r="L8" s="2" t="s">
        <v>130</v>
      </c>
      <c r="M8" s="2" t="s">
        <v>131</v>
      </c>
      <c r="N8" s="2">
        <v>200</v>
      </c>
      <c r="O8" s="2">
        <v>406</v>
      </c>
      <c r="P8" s="5"/>
      <c r="Q8" s="2"/>
      <c r="R8" s="2" t="s">
        <v>93</v>
      </c>
      <c r="S8" s="2" t="s">
        <v>94</v>
      </c>
      <c r="T8" s="5">
        <v>44623.060868055552</v>
      </c>
      <c r="U8" s="5">
        <v>46218.849826388891</v>
      </c>
      <c r="V8" s="2">
        <v>5077</v>
      </c>
      <c r="W8" s="2">
        <v>202</v>
      </c>
      <c r="X8" s="2">
        <v>18</v>
      </c>
      <c r="Y8" s="2">
        <v>16</v>
      </c>
      <c r="Z8" s="2">
        <v>518</v>
      </c>
      <c r="AA8" s="2">
        <v>0</v>
      </c>
      <c r="AB8" s="2">
        <v>0</v>
      </c>
      <c r="AC8" s="2">
        <v>0</v>
      </c>
      <c r="AD8" s="2">
        <v>5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0</v>
      </c>
      <c r="AK8" s="2"/>
      <c r="AL8" s="2">
        <v>13</v>
      </c>
      <c r="AM8" s="2">
        <v>0</v>
      </c>
      <c r="AN8" s="6">
        <v>0</v>
      </c>
      <c r="AO8" s="2">
        <v>100</v>
      </c>
      <c r="AP8" s="2">
        <v>14</v>
      </c>
      <c r="AQ8" s="2">
        <v>15</v>
      </c>
      <c r="AR8" s="6">
        <v>0.28000000000000003</v>
      </c>
      <c r="AS8" s="6">
        <v>0.89</v>
      </c>
      <c r="AT8" s="6">
        <v>0</v>
      </c>
      <c r="AU8" s="6">
        <v>0</v>
      </c>
      <c r="AV8" s="7">
        <f t="shared" si="0"/>
        <v>5</v>
      </c>
      <c r="AW8" s="7">
        <f t="shared" si="1"/>
        <v>0</v>
      </c>
      <c r="AX8" s="7">
        <f t="shared" si="2"/>
        <v>0</v>
      </c>
      <c r="AY8" s="7">
        <f t="shared" si="3"/>
        <v>5.2833333333333341</v>
      </c>
      <c r="AZ8" s="7">
        <f t="shared" si="4"/>
        <v>2.5708333333333337</v>
      </c>
      <c r="BA8" s="2">
        <v>0</v>
      </c>
      <c r="BB8" s="2">
        <v>0</v>
      </c>
      <c r="BC8" s="2" t="s">
        <v>95</v>
      </c>
    </row>
    <row r="9" spans="1:55">
      <c r="A9" s="2">
        <v>8</v>
      </c>
      <c r="B9" s="2" t="s">
        <v>84</v>
      </c>
      <c r="C9" s="2" t="s">
        <v>84</v>
      </c>
      <c r="D9" s="2" t="s">
        <v>132</v>
      </c>
      <c r="E9" s="2" t="s">
        <v>125</v>
      </c>
      <c r="F9" s="2" t="s">
        <v>133</v>
      </c>
      <c r="G9" s="2" t="s">
        <v>134</v>
      </c>
      <c r="H9" s="2" t="s">
        <v>128</v>
      </c>
      <c r="I9" s="2" t="s">
        <v>129</v>
      </c>
      <c r="J9" s="2" t="s">
        <v>11</v>
      </c>
      <c r="K9" s="2" t="s">
        <v>13</v>
      </c>
      <c r="L9" s="2" t="s">
        <v>135</v>
      </c>
      <c r="M9" s="2" t="s">
        <v>136</v>
      </c>
      <c r="N9" s="2">
        <v>200</v>
      </c>
      <c r="O9" s="2">
        <v>406</v>
      </c>
      <c r="P9" s="5"/>
      <c r="Q9" s="2"/>
      <c r="R9" s="2" t="s">
        <v>137</v>
      </c>
      <c r="S9" s="2"/>
      <c r="T9" s="5">
        <v>44334.626689814817</v>
      </c>
      <c r="U9" s="5">
        <v>46177.847986111112</v>
      </c>
      <c r="V9" s="2">
        <v>143</v>
      </c>
      <c r="W9" s="2">
        <v>5</v>
      </c>
      <c r="X9" s="2">
        <v>2</v>
      </c>
      <c r="Y9" s="2">
        <v>1</v>
      </c>
      <c r="Z9" s="2">
        <v>27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/>
      <c r="AL9" s="2">
        <v>0</v>
      </c>
      <c r="AM9" s="2">
        <v>0</v>
      </c>
      <c r="AN9" s="6"/>
      <c r="AO9" s="2">
        <v>57</v>
      </c>
      <c r="AP9" s="2">
        <v>1</v>
      </c>
      <c r="AQ9" s="2">
        <v>15</v>
      </c>
      <c r="AR9" s="6">
        <v>5.2631578947368418E-2</v>
      </c>
      <c r="AS9" s="6">
        <v>0.80701754385964908</v>
      </c>
      <c r="AT9" s="6">
        <v>0.19298245614035087</v>
      </c>
      <c r="AU9" s="6">
        <v>0</v>
      </c>
      <c r="AV9" s="7">
        <f t="shared" si="0"/>
        <v>0.25</v>
      </c>
      <c r="AW9" s="7">
        <f t="shared" si="1"/>
        <v>0</v>
      </c>
      <c r="AX9" s="7">
        <f t="shared" si="2"/>
        <v>0</v>
      </c>
      <c r="AY9" s="7">
        <f t="shared" si="3"/>
        <v>1.9210526315789471</v>
      </c>
      <c r="AZ9" s="7">
        <f t="shared" si="4"/>
        <v>0.54276315789473673</v>
      </c>
      <c r="BA9" s="2">
        <v>0</v>
      </c>
      <c r="BB9" s="2">
        <v>0</v>
      </c>
      <c r="BC9" s="2" t="s">
        <v>95</v>
      </c>
    </row>
    <row r="10" spans="1:55">
      <c r="A10" s="2">
        <v>9</v>
      </c>
      <c r="B10" s="2" t="s">
        <v>84</v>
      </c>
      <c r="C10" s="2" t="s">
        <v>84</v>
      </c>
      <c r="D10" s="2" t="s">
        <v>138</v>
      </c>
      <c r="E10" s="2" t="s">
        <v>125</v>
      </c>
      <c r="F10" s="2" t="s">
        <v>139</v>
      </c>
      <c r="G10" s="2" t="s">
        <v>140</v>
      </c>
      <c r="H10" s="2" t="s">
        <v>128</v>
      </c>
      <c r="I10" s="2" t="s">
        <v>129</v>
      </c>
      <c r="J10" s="2" t="s">
        <v>11</v>
      </c>
      <c r="K10" s="2" t="s">
        <v>13</v>
      </c>
      <c r="L10" s="2" t="s">
        <v>141</v>
      </c>
      <c r="M10" s="2" t="s">
        <v>142</v>
      </c>
      <c r="N10" s="2">
        <v>200</v>
      </c>
      <c r="O10" s="2">
        <v>406</v>
      </c>
      <c r="P10" s="5"/>
      <c r="Q10" s="2"/>
      <c r="R10" s="2" t="s">
        <v>137</v>
      </c>
      <c r="S10" s="2"/>
      <c r="T10" s="5">
        <v>44428.596307870372</v>
      </c>
      <c r="U10" s="5">
        <v>46148.603946759256</v>
      </c>
      <c r="V10" s="2">
        <v>128</v>
      </c>
      <c r="W10" s="2">
        <v>4</v>
      </c>
      <c r="X10" s="2">
        <v>4</v>
      </c>
      <c r="Y10" s="2">
        <v>4</v>
      </c>
      <c r="Z10" s="2">
        <v>53</v>
      </c>
      <c r="AA10" s="2">
        <v>0</v>
      </c>
      <c r="AB10" s="2">
        <v>0</v>
      </c>
      <c r="AC10" s="2">
        <v>0</v>
      </c>
      <c r="AD10" s="2">
        <v>2</v>
      </c>
      <c r="AE10" s="2">
        <v>0</v>
      </c>
      <c r="AF10" s="2">
        <v>0</v>
      </c>
      <c r="AG10" s="2">
        <v>0</v>
      </c>
      <c r="AH10" s="2">
        <v>1</v>
      </c>
      <c r="AI10" s="2">
        <v>0</v>
      </c>
      <c r="AJ10" s="2">
        <v>0</v>
      </c>
      <c r="AK10" s="2"/>
      <c r="AL10" s="2">
        <v>5</v>
      </c>
      <c r="AM10" s="2">
        <v>0</v>
      </c>
      <c r="AN10" s="6">
        <v>0</v>
      </c>
      <c r="AO10" s="2">
        <v>68</v>
      </c>
      <c r="AP10" s="2">
        <v>2</v>
      </c>
      <c r="AQ10" s="2">
        <v>19</v>
      </c>
      <c r="AR10" s="6">
        <v>0</v>
      </c>
      <c r="AS10" s="6">
        <v>0.88235294117647056</v>
      </c>
      <c r="AT10" s="6">
        <v>0.20588235294117646</v>
      </c>
      <c r="AU10" s="6">
        <v>0</v>
      </c>
      <c r="AV10" s="7">
        <f t="shared" si="0"/>
        <v>0.5</v>
      </c>
      <c r="AW10" s="7">
        <f t="shared" si="1"/>
        <v>0</v>
      </c>
      <c r="AX10" s="7">
        <f t="shared" si="2"/>
        <v>0</v>
      </c>
      <c r="AY10" s="7">
        <f t="shared" si="3"/>
        <v>3.8137254901960786</v>
      </c>
      <c r="AZ10" s="7">
        <f t="shared" si="4"/>
        <v>1.0784313725490198</v>
      </c>
      <c r="BA10" s="2">
        <v>0</v>
      </c>
      <c r="BB10" s="2">
        <v>0</v>
      </c>
      <c r="BC10" s="2" t="s">
        <v>95</v>
      </c>
    </row>
    <row r="11" spans="1:55">
      <c r="A11" s="2">
        <v>10</v>
      </c>
      <c r="B11" s="2" t="s">
        <v>84</v>
      </c>
      <c r="C11" s="2" t="s">
        <v>84</v>
      </c>
      <c r="D11" s="2" t="s">
        <v>143</v>
      </c>
      <c r="E11" s="2" t="s">
        <v>125</v>
      </c>
      <c r="F11" s="2" t="s">
        <v>144</v>
      </c>
      <c r="G11" s="2" t="s">
        <v>145</v>
      </c>
      <c r="H11" s="2" t="s">
        <v>128</v>
      </c>
      <c r="I11" s="2" t="s">
        <v>129</v>
      </c>
      <c r="J11" s="2" t="s">
        <v>11</v>
      </c>
      <c r="K11" s="2" t="s">
        <v>13</v>
      </c>
      <c r="L11" s="2" t="s">
        <v>146</v>
      </c>
      <c r="M11" s="2" t="s">
        <v>147</v>
      </c>
      <c r="N11" s="2">
        <v>200</v>
      </c>
      <c r="O11" s="2">
        <v>404</v>
      </c>
      <c r="P11" s="5"/>
      <c r="Q11" s="2"/>
      <c r="R11" s="2" t="s">
        <v>137</v>
      </c>
      <c r="S11" s="2"/>
      <c r="T11" s="5">
        <v>45026.795555555553</v>
      </c>
      <c r="U11" s="5">
        <v>46091.80164351852</v>
      </c>
      <c r="V11" s="2">
        <v>64</v>
      </c>
      <c r="W11" s="2">
        <v>5</v>
      </c>
      <c r="X11" s="2">
        <v>1</v>
      </c>
      <c r="Y11" s="2">
        <v>0</v>
      </c>
      <c r="Z11" s="2">
        <v>42</v>
      </c>
      <c r="AA11" s="2">
        <v>0</v>
      </c>
      <c r="AB11" s="2">
        <v>0</v>
      </c>
      <c r="AC11" s="2">
        <v>0</v>
      </c>
      <c r="AD11" s="2">
        <v>3</v>
      </c>
      <c r="AE11" s="2">
        <v>0</v>
      </c>
      <c r="AF11" s="2">
        <v>0</v>
      </c>
      <c r="AG11" s="2">
        <v>1</v>
      </c>
      <c r="AH11" s="2">
        <v>1</v>
      </c>
      <c r="AI11" s="2">
        <v>0</v>
      </c>
      <c r="AJ11" s="2">
        <v>0</v>
      </c>
      <c r="AK11" s="2"/>
      <c r="AL11" s="2">
        <v>6</v>
      </c>
      <c r="AM11" s="2">
        <v>0</v>
      </c>
      <c r="AN11" s="6">
        <v>0</v>
      </c>
      <c r="AO11" s="2">
        <v>24</v>
      </c>
      <c r="AP11" s="2">
        <v>0</v>
      </c>
      <c r="AQ11" s="2">
        <v>4</v>
      </c>
      <c r="AR11" s="6">
        <v>8.3333333333333329E-2</v>
      </c>
      <c r="AS11" s="6">
        <v>0.41666666666666669</v>
      </c>
      <c r="AT11" s="6">
        <v>0.16666666666666666</v>
      </c>
      <c r="AU11" s="6">
        <v>0</v>
      </c>
      <c r="AV11" s="7">
        <f t="shared" si="0"/>
        <v>0</v>
      </c>
      <c r="AW11" s="7">
        <f t="shared" si="1"/>
        <v>0</v>
      </c>
      <c r="AX11" s="7">
        <f t="shared" si="2"/>
        <v>0</v>
      </c>
      <c r="AY11" s="7">
        <f t="shared" si="3"/>
        <v>4.4444444444444438</v>
      </c>
      <c r="AZ11" s="7">
        <f t="shared" si="4"/>
        <v>1.1111111111111109</v>
      </c>
      <c r="BA11" s="2">
        <v>0</v>
      </c>
      <c r="BB11" s="2">
        <v>0</v>
      </c>
      <c r="BC11" s="2" t="s">
        <v>95</v>
      </c>
    </row>
    <row r="12" spans="1:55">
      <c r="A12" s="2">
        <v>11</v>
      </c>
      <c r="B12" s="2" t="s">
        <v>84</v>
      </c>
      <c r="C12" s="2" t="s">
        <v>84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11</v>
      </c>
      <c r="K12" s="2" t="s">
        <v>13</v>
      </c>
      <c r="L12" s="2" t="s">
        <v>154</v>
      </c>
      <c r="M12" s="2" t="s">
        <v>155</v>
      </c>
      <c r="N12" s="2">
        <v>200</v>
      </c>
      <c r="O12" s="2">
        <v>406</v>
      </c>
      <c r="P12" s="5"/>
      <c r="Q12" s="2"/>
      <c r="R12" s="2" t="s">
        <v>156</v>
      </c>
      <c r="S12" s="2" t="s">
        <v>157</v>
      </c>
      <c r="T12" s="5">
        <v>44243.565335648149</v>
      </c>
      <c r="U12" s="5">
        <v>46169.890625</v>
      </c>
      <c r="V12" s="2">
        <v>729</v>
      </c>
      <c r="W12" s="2">
        <v>7</v>
      </c>
      <c r="X12" s="2">
        <v>2</v>
      </c>
      <c r="Y12" s="2">
        <v>7</v>
      </c>
      <c r="Z12" s="2">
        <v>102</v>
      </c>
      <c r="AA12" s="2">
        <v>1</v>
      </c>
      <c r="AB12" s="2">
        <v>0</v>
      </c>
      <c r="AC12" s="2">
        <v>1</v>
      </c>
      <c r="AD12" s="2">
        <v>4</v>
      </c>
      <c r="AE12" s="2">
        <v>1</v>
      </c>
      <c r="AF12" s="2">
        <v>0</v>
      </c>
      <c r="AG12" s="2">
        <v>0</v>
      </c>
      <c r="AH12" s="2">
        <v>1</v>
      </c>
      <c r="AI12" s="2">
        <v>1</v>
      </c>
      <c r="AJ12" s="2">
        <v>0</v>
      </c>
      <c r="AK12" s="2">
        <v>10</v>
      </c>
      <c r="AL12" s="2">
        <v>11</v>
      </c>
      <c r="AM12" s="2">
        <v>0</v>
      </c>
      <c r="AN12" s="6">
        <v>0</v>
      </c>
      <c r="AO12" s="2">
        <v>100</v>
      </c>
      <c r="AP12" s="2">
        <v>1</v>
      </c>
      <c r="AQ12" s="2">
        <v>2</v>
      </c>
      <c r="AR12" s="6">
        <v>0.83</v>
      </c>
      <c r="AS12" s="6">
        <v>0.59</v>
      </c>
      <c r="AT12" s="6">
        <v>0</v>
      </c>
      <c r="AU12" s="6">
        <v>0</v>
      </c>
      <c r="AV12" s="7">
        <f t="shared" si="0"/>
        <v>7.75</v>
      </c>
      <c r="AW12" s="7">
        <f t="shared" si="1"/>
        <v>3.3333333333333335</v>
      </c>
      <c r="AX12" s="7">
        <f t="shared" si="2"/>
        <v>4</v>
      </c>
      <c r="AY12" s="7">
        <f t="shared" si="3"/>
        <v>4.2</v>
      </c>
      <c r="AZ12" s="7">
        <f t="shared" si="4"/>
        <v>4.8208333333333337</v>
      </c>
      <c r="BA12" s="2">
        <v>0</v>
      </c>
      <c r="BB12" s="2">
        <v>0</v>
      </c>
      <c r="BC12" s="2" t="s">
        <v>95</v>
      </c>
    </row>
    <row r="13" spans="1:55">
      <c r="A13" s="2">
        <v>12</v>
      </c>
      <c r="B13" s="2" t="s">
        <v>84</v>
      </c>
      <c r="C13" s="2" t="s">
        <v>84</v>
      </c>
      <c r="D13" s="2" t="s">
        <v>158</v>
      </c>
      <c r="E13" s="2" t="s">
        <v>149</v>
      </c>
      <c r="F13" s="2" t="s">
        <v>159</v>
      </c>
      <c r="G13" s="2" t="s">
        <v>160</v>
      </c>
      <c r="H13" s="2" t="s">
        <v>152</v>
      </c>
      <c r="I13" s="2" t="s">
        <v>153</v>
      </c>
      <c r="J13" s="2" t="s">
        <v>11</v>
      </c>
      <c r="K13" s="2" t="s">
        <v>13</v>
      </c>
      <c r="L13" s="2" t="s">
        <v>161</v>
      </c>
      <c r="M13" s="2" t="s">
        <v>162</v>
      </c>
      <c r="N13" s="2">
        <v>200</v>
      </c>
      <c r="O13" s="2">
        <v>406</v>
      </c>
      <c r="P13" s="5"/>
      <c r="Q13" s="2"/>
      <c r="R13" s="2" t="s">
        <v>137</v>
      </c>
      <c r="S13" s="2" t="s">
        <v>157</v>
      </c>
      <c r="T13" s="5">
        <v>45635.235173611109</v>
      </c>
      <c r="U13" s="5">
        <v>46167.197569444441</v>
      </c>
      <c r="V13" s="2">
        <v>525</v>
      </c>
      <c r="W13" s="2">
        <v>1</v>
      </c>
      <c r="X13" s="2">
        <v>0</v>
      </c>
      <c r="Y13" s="2">
        <v>1</v>
      </c>
      <c r="Z13" s="2">
        <v>358</v>
      </c>
      <c r="AA13" s="2">
        <v>1</v>
      </c>
      <c r="AB13" s="2">
        <v>0</v>
      </c>
      <c r="AC13" s="2">
        <v>1</v>
      </c>
      <c r="AD13" s="2">
        <v>4</v>
      </c>
      <c r="AE13" s="2">
        <v>1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10</v>
      </c>
      <c r="AL13" s="2">
        <v>11</v>
      </c>
      <c r="AM13" s="2">
        <v>0</v>
      </c>
      <c r="AN13" s="6">
        <v>0</v>
      </c>
      <c r="AO13" s="2">
        <v>75</v>
      </c>
      <c r="AP13" s="2">
        <v>17</v>
      </c>
      <c r="AQ13" s="2">
        <v>2</v>
      </c>
      <c r="AR13" s="6">
        <v>0.16</v>
      </c>
      <c r="AS13" s="6">
        <v>0.97333333333333338</v>
      </c>
      <c r="AT13" s="6">
        <v>0</v>
      </c>
      <c r="AU13" s="6">
        <v>0</v>
      </c>
      <c r="AV13" s="7">
        <f t="shared" si="0"/>
        <v>10</v>
      </c>
      <c r="AW13" s="7">
        <f t="shared" si="1"/>
        <v>3.3333333333333335</v>
      </c>
      <c r="AX13" s="7">
        <f t="shared" si="2"/>
        <v>4</v>
      </c>
      <c r="AY13" s="7">
        <f t="shared" si="3"/>
        <v>5.2222222222222223</v>
      </c>
      <c r="AZ13" s="7">
        <f t="shared" si="4"/>
        <v>5.6388888888888893</v>
      </c>
      <c r="BA13" s="2">
        <v>0</v>
      </c>
      <c r="BB13" s="2">
        <v>0</v>
      </c>
      <c r="BC13" s="2" t="s">
        <v>95</v>
      </c>
    </row>
    <row r="14" spans="1:55">
      <c r="A14" s="2">
        <v>13</v>
      </c>
      <c r="B14" s="2" t="s">
        <v>84</v>
      </c>
      <c r="C14" s="2" t="s">
        <v>84</v>
      </c>
      <c r="D14" s="2" t="s">
        <v>163</v>
      </c>
      <c r="E14" s="2" t="s">
        <v>149</v>
      </c>
      <c r="F14" s="2" t="s">
        <v>164</v>
      </c>
      <c r="G14" s="2" t="s">
        <v>165</v>
      </c>
      <c r="H14" s="2" t="s">
        <v>152</v>
      </c>
      <c r="I14" s="2" t="s">
        <v>153</v>
      </c>
      <c r="J14" s="2" t="s">
        <v>11</v>
      </c>
      <c r="K14" s="2" t="s">
        <v>13</v>
      </c>
      <c r="L14" s="2" t="s">
        <v>166</v>
      </c>
      <c r="M14" s="2" t="s">
        <v>167</v>
      </c>
      <c r="N14" s="2">
        <v>200</v>
      </c>
      <c r="O14" s="2">
        <v>406</v>
      </c>
      <c r="P14" s="5"/>
      <c r="Q14" s="2"/>
      <c r="R14" s="2" t="s">
        <v>168</v>
      </c>
      <c r="S14" s="2" t="s">
        <v>157</v>
      </c>
      <c r="T14" s="5">
        <v>44243.56521990741</v>
      </c>
      <c r="U14" s="5">
        <v>46157.80976851852</v>
      </c>
      <c r="V14" s="2">
        <v>770</v>
      </c>
      <c r="W14" s="2">
        <v>4</v>
      </c>
      <c r="X14" s="2">
        <v>3</v>
      </c>
      <c r="Y14" s="2">
        <v>1</v>
      </c>
      <c r="Z14" s="2">
        <v>327</v>
      </c>
      <c r="AA14" s="2">
        <v>1</v>
      </c>
      <c r="AB14" s="2">
        <v>0</v>
      </c>
      <c r="AC14" s="2">
        <v>1</v>
      </c>
      <c r="AD14" s="2">
        <v>5</v>
      </c>
      <c r="AE14" s="2">
        <v>1</v>
      </c>
      <c r="AF14" s="2">
        <v>0</v>
      </c>
      <c r="AG14" s="2">
        <v>1</v>
      </c>
      <c r="AH14" s="2">
        <v>1</v>
      </c>
      <c r="AI14" s="2">
        <v>1</v>
      </c>
      <c r="AJ14" s="2">
        <v>0</v>
      </c>
      <c r="AK14" s="2">
        <v>10</v>
      </c>
      <c r="AL14" s="2">
        <v>15</v>
      </c>
      <c r="AM14" s="2">
        <v>0</v>
      </c>
      <c r="AN14" s="6">
        <v>0</v>
      </c>
      <c r="AO14" s="2">
        <v>100</v>
      </c>
      <c r="AP14" s="2">
        <v>6</v>
      </c>
      <c r="AQ14" s="2">
        <v>3</v>
      </c>
      <c r="AR14" s="6">
        <v>0.91</v>
      </c>
      <c r="AS14" s="6">
        <v>0.8</v>
      </c>
      <c r="AT14" s="6">
        <v>0</v>
      </c>
      <c r="AU14" s="6">
        <v>0</v>
      </c>
      <c r="AV14" s="7">
        <f t="shared" si="0"/>
        <v>9</v>
      </c>
      <c r="AW14" s="7">
        <f t="shared" si="1"/>
        <v>3.3333333333333335</v>
      </c>
      <c r="AX14" s="7">
        <f t="shared" si="2"/>
        <v>4</v>
      </c>
      <c r="AY14" s="7">
        <f t="shared" si="3"/>
        <v>7.1833333333333336</v>
      </c>
      <c r="AZ14" s="7">
        <f t="shared" si="4"/>
        <v>5.8791666666666673</v>
      </c>
      <c r="BA14" s="2">
        <v>0</v>
      </c>
      <c r="BB14" s="2">
        <v>0</v>
      </c>
      <c r="BC14" s="2" t="s">
        <v>95</v>
      </c>
    </row>
    <row r="15" spans="1:55">
      <c r="A15" s="2">
        <v>14</v>
      </c>
      <c r="B15" s="2" t="s">
        <v>84</v>
      </c>
      <c r="C15" s="2" t="s">
        <v>84</v>
      </c>
      <c r="D15" s="2" t="s">
        <v>169</v>
      </c>
      <c r="E15" s="2" t="s">
        <v>149</v>
      </c>
      <c r="F15" s="2" t="s">
        <v>170</v>
      </c>
      <c r="G15" s="2" t="s">
        <v>171</v>
      </c>
      <c r="H15" s="2" t="s">
        <v>152</v>
      </c>
      <c r="I15" s="2" t="s">
        <v>153</v>
      </c>
      <c r="J15" s="2" t="s">
        <v>11</v>
      </c>
      <c r="K15" s="2" t="s">
        <v>13</v>
      </c>
      <c r="L15" s="2" t="s">
        <v>172</v>
      </c>
      <c r="M15" s="2" t="s">
        <v>173</v>
      </c>
      <c r="N15" s="2">
        <v>200</v>
      </c>
      <c r="O15" s="2">
        <v>406</v>
      </c>
      <c r="P15" s="5"/>
      <c r="Q15" s="2"/>
      <c r="R15" s="2" t="s">
        <v>174</v>
      </c>
      <c r="S15" s="2" t="s">
        <v>157</v>
      </c>
      <c r="T15" s="5">
        <v>44286.854837962965</v>
      </c>
      <c r="U15" s="5">
        <v>45905.636956018519</v>
      </c>
      <c r="V15" s="2">
        <v>638</v>
      </c>
      <c r="W15" s="2">
        <v>3</v>
      </c>
      <c r="X15" s="2">
        <v>1</v>
      </c>
      <c r="Y15" s="2">
        <v>7</v>
      </c>
      <c r="Z15" s="2">
        <v>142</v>
      </c>
      <c r="AA15" s="2">
        <v>1</v>
      </c>
      <c r="AB15" s="2">
        <v>0</v>
      </c>
      <c r="AC15" s="2">
        <v>1</v>
      </c>
      <c r="AD15" s="2">
        <v>6</v>
      </c>
      <c r="AE15" s="2">
        <v>1</v>
      </c>
      <c r="AF15" s="2">
        <v>0</v>
      </c>
      <c r="AG15" s="2">
        <v>1</v>
      </c>
      <c r="AH15" s="2">
        <v>1</v>
      </c>
      <c r="AI15" s="2">
        <v>1</v>
      </c>
      <c r="AJ15" s="2">
        <v>0</v>
      </c>
      <c r="AK15" s="2">
        <v>10</v>
      </c>
      <c r="AL15" s="2">
        <v>22</v>
      </c>
      <c r="AM15" s="2">
        <v>0</v>
      </c>
      <c r="AN15" s="6">
        <v>0</v>
      </c>
      <c r="AO15" s="2">
        <v>100</v>
      </c>
      <c r="AP15" s="2">
        <v>0</v>
      </c>
      <c r="AQ15" s="2">
        <v>6</v>
      </c>
      <c r="AR15" s="6">
        <v>0.89</v>
      </c>
      <c r="AS15" s="6">
        <v>0.82</v>
      </c>
      <c r="AT15" s="6">
        <v>0</v>
      </c>
      <c r="AU15" s="6">
        <v>0</v>
      </c>
      <c r="AV15" s="7">
        <f t="shared" si="0"/>
        <v>7.5</v>
      </c>
      <c r="AW15" s="7">
        <f t="shared" si="1"/>
        <v>3.3333333333333335</v>
      </c>
      <c r="AX15" s="7">
        <f t="shared" si="2"/>
        <v>4</v>
      </c>
      <c r="AY15" s="7">
        <f t="shared" si="3"/>
        <v>6.1833333333333336</v>
      </c>
      <c r="AZ15" s="7">
        <f t="shared" si="4"/>
        <v>5.2541666666666664</v>
      </c>
      <c r="BA15" s="2">
        <v>0</v>
      </c>
      <c r="BB15" s="2">
        <v>0</v>
      </c>
      <c r="BC15" s="2" t="s">
        <v>95</v>
      </c>
    </row>
    <row r="16" spans="1:55">
      <c r="A16" s="2">
        <v>15</v>
      </c>
      <c r="B16" s="2" t="s">
        <v>84</v>
      </c>
      <c r="C16" s="2" t="s">
        <v>84</v>
      </c>
      <c r="D16" s="2" t="s">
        <v>175</v>
      </c>
      <c r="E16" s="2" t="s">
        <v>176</v>
      </c>
      <c r="F16" s="2" t="s">
        <v>177</v>
      </c>
      <c r="G16" s="2" t="s">
        <v>178</v>
      </c>
      <c r="H16" s="2" t="s">
        <v>179</v>
      </c>
      <c r="I16" s="2" t="s">
        <v>90</v>
      </c>
      <c r="J16" s="2" t="s">
        <v>11</v>
      </c>
      <c r="K16" s="2" t="s">
        <v>13</v>
      </c>
      <c r="L16" s="2" t="s">
        <v>180</v>
      </c>
      <c r="M16" s="2" t="s">
        <v>181</v>
      </c>
      <c r="N16" s="2">
        <v>200</v>
      </c>
      <c r="O16" s="2">
        <v>406</v>
      </c>
      <c r="P16" s="5"/>
      <c r="Q16" s="2"/>
      <c r="R16" s="2" t="s">
        <v>93</v>
      </c>
      <c r="S16" s="2"/>
      <c r="T16" s="5">
        <v>45975.974560185183</v>
      </c>
      <c r="U16" s="5">
        <v>46217.738634259258</v>
      </c>
      <c r="V16" s="2">
        <v>2362</v>
      </c>
      <c r="W16" s="2">
        <v>0</v>
      </c>
      <c r="X16" s="2">
        <v>6</v>
      </c>
      <c r="Y16" s="2">
        <v>64</v>
      </c>
      <c r="Z16" s="2">
        <v>388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/>
      <c r="AL16" s="2">
        <v>0</v>
      </c>
      <c r="AM16" s="2">
        <v>0</v>
      </c>
      <c r="AN16" s="6"/>
      <c r="AO16" s="2">
        <v>100</v>
      </c>
      <c r="AP16" s="2">
        <v>0</v>
      </c>
      <c r="AQ16" s="2">
        <v>9</v>
      </c>
      <c r="AR16" s="6">
        <v>0.67</v>
      </c>
      <c r="AS16" s="6">
        <v>0.11</v>
      </c>
      <c r="AT16" s="6">
        <v>0.2</v>
      </c>
      <c r="AU16" s="6">
        <v>0</v>
      </c>
      <c r="AV16" s="7">
        <f t="shared" si="0"/>
        <v>0</v>
      </c>
      <c r="AW16" s="7">
        <f t="shared" si="1"/>
        <v>0</v>
      </c>
      <c r="AX16" s="7">
        <f t="shared" si="2"/>
        <v>0</v>
      </c>
      <c r="AY16" s="7">
        <f t="shared" si="3"/>
        <v>1.6333333333333335</v>
      </c>
      <c r="AZ16" s="7">
        <f t="shared" si="4"/>
        <v>0.40833333333333338</v>
      </c>
      <c r="BA16" s="2">
        <v>0</v>
      </c>
      <c r="BB16" s="2">
        <v>0</v>
      </c>
      <c r="BC16" s="2" t="s">
        <v>95</v>
      </c>
    </row>
    <row r="17" spans="1:55">
      <c r="A17" s="2">
        <v>16</v>
      </c>
      <c r="B17" s="2" t="s">
        <v>84</v>
      </c>
      <c r="C17" s="2" t="s">
        <v>84</v>
      </c>
      <c r="D17" s="2" t="s">
        <v>182</v>
      </c>
      <c r="E17" s="2" t="s">
        <v>176</v>
      </c>
      <c r="F17" s="2" t="s">
        <v>183</v>
      </c>
      <c r="G17" s="2" t="s">
        <v>184</v>
      </c>
      <c r="H17" s="2" t="s">
        <v>179</v>
      </c>
      <c r="I17" s="2" t="s">
        <v>90</v>
      </c>
      <c r="J17" s="2" t="s">
        <v>11</v>
      </c>
      <c r="K17" s="2" t="s">
        <v>13</v>
      </c>
      <c r="L17" s="2" t="s">
        <v>185</v>
      </c>
      <c r="M17" s="2" t="s">
        <v>186</v>
      </c>
      <c r="N17" s="2">
        <v>200</v>
      </c>
      <c r="O17" s="2">
        <v>406</v>
      </c>
      <c r="P17" s="5"/>
      <c r="Q17" s="2"/>
      <c r="R17" s="2" t="s">
        <v>93</v>
      </c>
      <c r="S17" s="2"/>
      <c r="T17" s="5">
        <v>45355.577534722222</v>
      </c>
      <c r="U17" s="5">
        <v>46035.678287037037</v>
      </c>
      <c r="V17" s="2">
        <v>252484</v>
      </c>
      <c r="W17" s="2">
        <v>0</v>
      </c>
      <c r="X17" s="2">
        <v>0</v>
      </c>
      <c r="Y17" s="2">
        <v>1</v>
      </c>
      <c r="Z17" s="2">
        <v>315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/>
      <c r="AL17" s="2">
        <v>0</v>
      </c>
      <c r="AM17" s="2">
        <v>0</v>
      </c>
      <c r="AN17" s="6"/>
      <c r="AO17" s="2">
        <v>74</v>
      </c>
      <c r="AP17" s="2">
        <v>0</v>
      </c>
      <c r="AQ17" s="2">
        <v>5</v>
      </c>
      <c r="AR17" s="6">
        <v>0</v>
      </c>
      <c r="AS17" s="6">
        <v>0</v>
      </c>
      <c r="AT17" s="6">
        <v>8.1081081081081086E-2</v>
      </c>
      <c r="AU17" s="6">
        <v>0</v>
      </c>
      <c r="AV17" s="7">
        <f t="shared" si="0"/>
        <v>0</v>
      </c>
      <c r="AW17" s="7">
        <f t="shared" si="1"/>
        <v>0</v>
      </c>
      <c r="AX17" s="7">
        <f t="shared" si="2"/>
        <v>0</v>
      </c>
      <c r="AY17" s="7">
        <f t="shared" si="3"/>
        <v>0.13513513513513514</v>
      </c>
      <c r="AZ17" s="7">
        <f t="shared" si="4"/>
        <v>3.3783783783783786E-2</v>
      </c>
      <c r="BA17" s="2">
        <v>0</v>
      </c>
      <c r="BB17" s="2">
        <v>0</v>
      </c>
      <c r="BC17" s="2" t="s">
        <v>95</v>
      </c>
    </row>
    <row r="18" spans="1:55">
      <c r="A18" s="2">
        <v>17</v>
      </c>
      <c r="B18" s="2" t="s">
        <v>84</v>
      </c>
      <c r="C18" s="2" t="s">
        <v>84</v>
      </c>
      <c r="D18" s="2" t="s">
        <v>187</v>
      </c>
      <c r="E18" s="2" t="s">
        <v>176</v>
      </c>
      <c r="F18" s="2" t="s">
        <v>188</v>
      </c>
      <c r="G18" s="2" t="s">
        <v>189</v>
      </c>
      <c r="H18" s="2" t="s">
        <v>179</v>
      </c>
      <c r="I18" s="2" t="s">
        <v>90</v>
      </c>
      <c r="J18" s="2" t="s">
        <v>11</v>
      </c>
      <c r="K18" s="2" t="s">
        <v>13</v>
      </c>
      <c r="L18" s="2" t="s">
        <v>190</v>
      </c>
      <c r="M18" s="2" t="s">
        <v>191</v>
      </c>
      <c r="N18" s="2">
        <v>200</v>
      </c>
      <c r="O18" s="2">
        <v>406</v>
      </c>
      <c r="P18" s="5"/>
      <c r="Q18" s="2"/>
      <c r="R18" s="2" t="s">
        <v>192</v>
      </c>
      <c r="S18" s="2"/>
      <c r="T18" s="5">
        <v>45810.970902777779</v>
      </c>
      <c r="U18" s="5">
        <v>45813.8750462963</v>
      </c>
      <c r="V18" s="2">
        <v>60162</v>
      </c>
      <c r="W18" s="2">
        <v>4</v>
      </c>
      <c r="X18" s="2">
        <v>1</v>
      </c>
      <c r="Y18" s="2">
        <v>0</v>
      </c>
      <c r="Z18" s="2">
        <v>250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/>
      <c r="AL18" s="2">
        <v>0</v>
      </c>
      <c r="AM18" s="2">
        <v>0</v>
      </c>
      <c r="AN18" s="6"/>
      <c r="AO18" s="2">
        <v>100</v>
      </c>
      <c r="AP18" s="2">
        <v>0</v>
      </c>
      <c r="AQ18" s="2">
        <v>7</v>
      </c>
      <c r="AR18" s="6">
        <v>0.48</v>
      </c>
      <c r="AS18" s="6">
        <v>0.08</v>
      </c>
      <c r="AT18" s="6">
        <v>0.15</v>
      </c>
      <c r="AU18" s="6">
        <v>0</v>
      </c>
      <c r="AV18" s="7">
        <f t="shared" si="0"/>
        <v>0</v>
      </c>
      <c r="AW18" s="7">
        <f t="shared" si="1"/>
        <v>0</v>
      </c>
      <c r="AX18" s="7">
        <f t="shared" si="2"/>
        <v>0</v>
      </c>
      <c r="AY18" s="7">
        <f t="shared" si="3"/>
        <v>1.1833333333333333</v>
      </c>
      <c r="AZ18" s="7">
        <f t="shared" si="4"/>
        <v>0.29583333333333334</v>
      </c>
      <c r="BA18" s="2">
        <v>0</v>
      </c>
      <c r="BB18" s="2">
        <v>0</v>
      </c>
      <c r="BC18" s="2" t="s">
        <v>95</v>
      </c>
    </row>
    <row r="19" spans="1:55">
      <c r="A19" s="2">
        <v>18</v>
      </c>
      <c r="B19" s="2" t="s">
        <v>84</v>
      </c>
      <c r="C19" s="2" t="s">
        <v>84</v>
      </c>
      <c r="D19" s="2" t="s">
        <v>193</v>
      </c>
      <c r="E19" s="2" t="s">
        <v>194</v>
      </c>
      <c r="F19" s="2" t="s">
        <v>195</v>
      </c>
      <c r="G19" s="2" t="s">
        <v>196</v>
      </c>
      <c r="H19" s="2" t="s">
        <v>197</v>
      </c>
      <c r="I19" s="2" t="s">
        <v>90</v>
      </c>
      <c r="J19" s="2" t="s">
        <v>11</v>
      </c>
      <c r="K19" s="2" t="s">
        <v>13</v>
      </c>
      <c r="L19" s="2" t="s">
        <v>198</v>
      </c>
      <c r="M19" s="2" t="s">
        <v>199</v>
      </c>
      <c r="N19" s="2">
        <v>200</v>
      </c>
      <c r="O19" s="2">
        <v>406</v>
      </c>
      <c r="P19" s="5"/>
      <c r="Q19" s="2"/>
      <c r="R19" s="2" t="s">
        <v>137</v>
      </c>
      <c r="S19" s="2"/>
      <c r="T19" s="5">
        <v>45461.146226851852</v>
      </c>
      <c r="U19" s="5">
        <v>45810.710532407407</v>
      </c>
      <c r="V19" s="2">
        <v>1512</v>
      </c>
      <c r="W19" s="2">
        <v>2</v>
      </c>
      <c r="X19" s="2">
        <v>0</v>
      </c>
      <c r="Y19" s="2">
        <v>0</v>
      </c>
      <c r="Z19" s="2">
        <v>11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/>
      <c r="AL19" s="2">
        <v>0</v>
      </c>
      <c r="AM19" s="2">
        <v>0</v>
      </c>
      <c r="AN19" s="6"/>
      <c r="AO19" s="2">
        <v>40</v>
      </c>
      <c r="AP19" s="2">
        <v>0</v>
      </c>
      <c r="AQ19" s="2">
        <v>2</v>
      </c>
      <c r="AR19" s="6">
        <v>0</v>
      </c>
      <c r="AS19" s="6">
        <v>2.5000000000000001E-2</v>
      </c>
      <c r="AT19" s="6">
        <v>2.5000000000000001E-2</v>
      </c>
      <c r="AU19" s="6">
        <v>0</v>
      </c>
      <c r="AV19" s="7">
        <f t="shared" si="0"/>
        <v>0</v>
      </c>
      <c r="AW19" s="7">
        <f t="shared" si="1"/>
        <v>0</v>
      </c>
      <c r="AX19" s="7">
        <f t="shared" si="2"/>
        <v>0</v>
      </c>
      <c r="AY19" s="7">
        <f t="shared" si="3"/>
        <v>8.3333333333333329E-2</v>
      </c>
      <c r="AZ19" s="7">
        <f t="shared" si="4"/>
        <v>2.0833333333333332E-2</v>
      </c>
      <c r="BA19" s="2">
        <v>0</v>
      </c>
      <c r="BB19" s="2">
        <v>0</v>
      </c>
      <c r="BC19" s="2" t="s">
        <v>95</v>
      </c>
    </row>
    <row r="20" spans="1:55">
      <c r="A20" s="2">
        <v>19</v>
      </c>
      <c r="B20" s="2" t="s">
        <v>84</v>
      </c>
      <c r="C20" s="2" t="s">
        <v>84</v>
      </c>
      <c r="D20" s="2" t="s">
        <v>200</v>
      </c>
      <c r="E20" s="2" t="s">
        <v>194</v>
      </c>
      <c r="F20" s="2" t="s">
        <v>201</v>
      </c>
      <c r="G20" s="2" t="s">
        <v>202</v>
      </c>
      <c r="H20" s="2" t="s">
        <v>197</v>
      </c>
      <c r="I20" s="2" t="s">
        <v>90</v>
      </c>
      <c r="J20" s="2" t="s">
        <v>11</v>
      </c>
      <c r="K20" s="2" t="s">
        <v>13</v>
      </c>
      <c r="L20" s="2" t="s">
        <v>203</v>
      </c>
      <c r="M20" s="2" t="s">
        <v>204</v>
      </c>
      <c r="N20" s="2">
        <v>200</v>
      </c>
      <c r="O20" s="2">
        <v>406</v>
      </c>
      <c r="P20" s="5"/>
      <c r="Q20" s="2"/>
      <c r="R20" s="2" t="s">
        <v>137</v>
      </c>
      <c r="S20" s="2" t="s">
        <v>94</v>
      </c>
      <c r="T20" s="5">
        <v>45523.740844907406</v>
      </c>
      <c r="U20" s="5">
        <v>45692.624537037038</v>
      </c>
      <c r="V20" s="2">
        <v>1066</v>
      </c>
      <c r="W20" s="2">
        <v>14</v>
      </c>
      <c r="X20" s="2">
        <v>3</v>
      </c>
      <c r="Y20" s="2">
        <v>1</v>
      </c>
      <c r="Z20" s="2">
        <v>24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/>
      <c r="AL20" s="2">
        <v>0</v>
      </c>
      <c r="AM20" s="2">
        <v>0</v>
      </c>
      <c r="AN20" s="6"/>
      <c r="AO20" s="2">
        <v>46</v>
      </c>
      <c r="AP20" s="2">
        <v>0</v>
      </c>
      <c r="AQ20" s="2">
        <v>4</v>
      </c>
      <c r="AR20" s="6">
        <v>0</v>
      </c>
      <c r="AS20" s="6">
        <v>0.19565217391304349</v>
      </c>
      <c r="AT20" s="6">
        <v>0.19565217391304349</v>
      </c>
      <c r="AU20" s="6">
        <v>0</v>
      </c>
      <c r="AV20" s="7">
        <f t="shared" si="0"/>
        <v>2.5</v>
      </c>
      <c r="AW20" s="7">
        <f t="shared" si="1"/>
        <v>0</v>
      </c>
      <c r="AX20" s="7">
        <f t="shared" si="2"/>
        <v>0</v>
      </c>
      <c r="AY20" s="7">
        <f t="shared" si="3"/>
        <v>0.65217391304347827</v>
      </c>
      <c r="AZ20" s="7">
        <f t="shared" si="4"/>
        <v>0.78804347826086962</v>
      </c>
      <c r="BA20" s="2">
        <v>0</v>
      </c>
      <c r="BB20" s="2">
        <v>0</v>
      </c>
      <c r="BC20" s="2" t="s">
        <v>95</v>
      </c>
    </row>
    <row r="21" spans="1:55">
      <c r="A21" s="2">
        <v>20</v>
      </c>
      <c r="B21" s="2" t="s">
        <v>84</v>
      </c>
      <c r="C21" s="2" t="s">
        <v>84</v>
      </c>
      <c r="D21" s="2" t="s">
        <v>205</v>
      </c>
      <c r="E21" s="2" t="s">
        <v>206</v>
      </c>
      <c r="F21" s="2" t="s">
        <v>207</v>
      </c>
      <c r="G21" s="2" t="s">
        <v>208</v>
      </c>
      <c r="H21" s="2" t="s">
        <v>209</v>
      </c>
      <c r="I21" s="2" t="s">
        <v>90</v>
      </c>
      <c r="J21" s="2" t="s">
        <v>11</v>
      </c>
      <c r="K21" s="2" t="s">
        <v>13</v>
      </c>
      <c r="L21" s="2" t="s">
        <v>210</v>
      </c>
      <c r="M21" s="2" t="s">
        <v>211</v>
      </c>
      <c r="N21" s="2">
        <v>200</v>
      </c>
      <c r="O21" s="2">
        <v>406</v>
      </c>
      <c r="P21" s="5"/>
      <c r="Q21" s="2"/>
      <c r="R21" s="2" t="s">
        <v>212</v>
      </c>
      <c r="S21" s="2" t="s">
        <v>94</v>
      </c>
      <c r="T21" s="5">
        <v>45708.836504629631</v>
      </c>
      <c r="U21" s="5">
        <v>45846.808298611111</v>
      </c>
      <c r="V21" s="2">
        <v>55399</v>
      </c>
      <c r="W21" s="2">
        <v>0</v>
      </c>
      <c r="X21" s="2">
        <v>0</v>
      </c>
      <c r="Y21" s="2">
        <v>0</v>
      </c>
      <c r="Z21" s="2">
        <v>95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/>
      <c r="AL21" s="2">
        <v>0</v>
      </c>
      <c r="AM21" s="2">
        <v>0</v>
      </c>
      <c r="AN21" s="6"/>
      <c r="AO21" s="2">
        <v>100</v>
      </c>
      <c r="AP21" s="2">
        <v>0</v>
      </c>
      <c r="AQ21" s="2">
        <v>10</v>
      </c>
      <c r="AR21" s="6">
        <v>0.53</v>
      </c>
      <c r="AS21" s="6">
        <v>0.17</v>
      </c>
      <c r="AT21" s="6">
        <v>0.03</v>
      </c>
      <c r="AU21" s="6">
        <v>0</v>
      </c>
      <c r="AV21" s="7">
        <f t="shared" si="0"/>
        <v>2.5</v>
      </c>
      <c r="AW21" s="7">
        <f t="shared" si="1"/>
        <v>0</v>
      </c>
      <c r="AX21" s="7">
        <f t="shared" si="2"/>
        <v>0</v>
      </c>
      <c r="AY21" s="7">
        <f t="shared" si="3"/>
        <v>1.2166666666666668</v>
      </c>
      <c r="AZ21" s="7">
        <f t="shared" si="4"/>
        <v>0.9291666666666667</v>
      </c>
      <c r="BA21" s="2">
        <v>0</v>
      </c>
      <c r="BB21" s="2">
        <v>0</v>
      </c>
      <c r="BC21" s="2" t="s">
        <v>95</v>
      </c>
    </row>
    <row r="22" spans="1:55">
      <c r="A22" s="2">
        <v>21</v>
      </c>
      <c r="B22" s="2" t="s">
        <v>84</v>
      </c>
      <c r="C22" s="2" t="s">
        <v>84</v>
      </c>
      <c r="D22" s="2" t="s">
        <v>213</v>
      </c>
      <c r="E22" s="2" t="s">
        <v>206</v>
      </c>
      <c r="F22" s="2" t="s">
        <v>214</v>
      </c>
      <c r="G22" s="2" t="s">
        <v>215</v>
      </c>
      <c r="H22" s="2" t="s">
        <v>209</v>
      </c>
      <c r="I22" s="2" t="s">
        <v>90</v>
      </c>
      <c r="J22" s="2" t="s">
        <v>11</v>
      </c>
      <c r="K22" s="2" t="s">
        <v>13</v>
      </c>
      <c r="L22" s="2" t="s">
        <v>216</v>
      </c>
      <c r="M22" s="2" t="s">
        <v>217</v>
      </c>
      <c r="N22" s="2">
        <v>200</v>
      </c>
      <c r="O22" s="2">
        <v>406</v>
      </c>
      <c r="P22" s="5"/>
      <c r="Q22" s="2"/>
      <c r="R22" s="2" t="s">
        <v>212</v>
      </c>
      <c r="S22" s="2" t="s">
        <v>218</v>
      </c>
      <c r="T22" s="5">
        <v>45708.898726851854</v>
      </c>
      <c r="U22" s="5">
        <v>45709.735069444447</v>
      </c>
      <c r="V22" s="2">
        <v>79</v>
      </c>
      <c r="W22" s="2">
        <v>0</v>
      </c>
      <c r="X22" s="2">
        <v>0</v>
      </c>
      <c r="Y22" s="2">
        <v>0</v>
      </c>
      <c r="Z22" s="2">
        <v>89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/>
      <c r="AL22" s="2">
        <v>0</v>
      </c>
      <c r="AM22" s="2">
        <v>0</v>
      </c>
      <c r="AN22" s="6"/>
      <c r="AO22" s="2">
        <v>5</v>
      </c>
      <c r="AP22" s="2">
        <v>0</v>
      </c>
      <c r="AQ22" s="2">
        <v>1</v>
      </c>
      <c r="AR22" s="6">
        <v>0.8</v>
      </c>
      <c r="AS22" s="6">
        <v>0</v>
      </c>
      <c r="AT22" s="6">
        <v>0</v>
      </c>
      <c r="AU22" s="6">
        <v>0</v>
      </c>
      <c r="AV22" s="7">
        <f t="shared" si="0"/>
        <v>2.5</v>
      </c>
      <c r="AW22" s="7">
        <f t="shared" si="1"/>
        <v>0</v>
      </c>
      <c r="AX22" s="7">
        <f t="shared" si="2"/>
        <v>0</v>
      </c>
      <c r="AY22" s="7">
        <f t="shared" si="3"/>
        <v>1.3333333333333333</v>
      </c>
      <c r="AZ22" s="7">
        <f t="shared" si="4"/>
        <v>0.95833333333333326</v>
      </c>
      <c r="BA22" s="2">
        <v>0</v>
      </c>
      <c r="BB22" s="2">
        <v>0</v>
      </c>
      <c r="BC22" s="2" t="s">
        <v>95</v>
      </c>
    </row>
    <row r="23" spans="1:55">
      <c r="A23" s="2">
        <v>22</v>
      </c>
      <c r="B23" s="2" t="s">
        <v>84</v>
      </c>
      <c r="C23" s="2" t="s">
        <v>84</v>
      </c>
      <c r="D23" s="2" t="s">
        <v>219</v>
      </c>
      <c r="E23" s="2" t="s">
        <v>220</v>
      </c>
      <c r="F23" s="2" t="s">
        <v>221</v>
      </c>
      <c r="G23" s="2" t="s">
        <v>222</v>
      </c>
      <c r="H23" s="2" t="s">
        <v>223</v>
      </c>
      <c r="I23" s="2" t="s">
        <v>90</v>
      </c>
      <c r="J23" s="2" t="s">
        <v>11</v>
      </c>
      <c r="K23" s="2" t="s">
        <v>13</v>
      </c>
      <c r="L23" s="2" t="s">
        <v>224</v>
      </c>
      <c r="M23" s="2" t="s">
        <v>225</v>
      </c>
      <c r="N23" s="2">
        <v>200</v>
      </c>
      <c r="O23" s="2">
        <v>406</v>
      </c>
      <c r="P23" s="5"/>
      <c r="Q23" s="2"/>
      <c r="R23" s="2" t="s">
        <v>226</v>
      </c>
      <c r="S23" s="2"/>
      <c r="T23" s="5">
        <v>45203.811550925922</v>
      </c>
      <c r="U23" s="5">
        <v>45670.847673611112</v>
      </c>
      <c r="V23" s="2">
        <v>6624</v>
      </c>
      <c r="W23" s="2">
        <v>0</v>
      </c>
      <c r="X23" s="2">
        <v>2</v>
      </c>
      <c r="Y23" s="2">
        <v>1</v>
      </c>
      <c r="Z23" s="2">
        <v>18</v>
      </c>
      <c r="AA23" s="2">
        <v>0</v>
      </c>
      <c r="AB23" s="2">
        <v>0</v>
      </c>
      <c r="AC23" s="2">
        <v>0</v>
      </c>
      <c r="AD23" s="2">
        <v>2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0</v>
      </c>
      <c r="AK23" s="2"/>
      <c r="AL23" s="2">
        <v>3</v>
      </c>
      <c r="AM23" s="2">
        <v>0</v>
      </c>
      <c r="AN23" s="6">
        <v>0</v>
      </c>
      <c r="AO23" s="2">
        <v>85</v>
      </c>
      <c r="AP23" s="2">
        <v>0</v>
      </c>
      <c r="AQ23" s="2">
        <v>29</v>
      </c>
      <c r="AR23" s="6">
        <v>1.1764705882352941E-2</v>
      </c>
      <c r="AS23" s="6">
        <v>0.35294117647058826</v>
      </c>
      <c r="AT23" s="6">
        <v>0</v>
      </c>
      <c r="AU23" s="6">
        <v>0</v>
      </c>
      <c r="AV23" s="7">
        <f t="shared" si="0"/>
        <v>0</v>
      </c>
      <c r="AW23" s="7">
        <f t="shared" si="1"/>
        <v>0</v>
      </c>
      <c r="AX23" s="7">
        <f t="shared" si="2"/>
        <v>0</v>
      </c>
      <c r="AY23" s="7">
        <f t="shared" si="3"/>
        <v>2.274509803921569</v>
      </c>
      <c r="AZ23" s="7">
        <f t="shared" si="4"/>
        <v>0.56862745098039225</v>
      </c>
      <c r="BA23" s="2">
        <v>0</v>
      </c>
      <c r="BB23" s="2">
        <v>0</v>
      </c>
      <c r="BC23" s="2" t="s">
        <v>95</v>
      </c>
    </row>
    <row r="24" spans="1:55">
      <c r="A24" s="2">
        <v>23</v>
      </c>
      <c r="B24" s="2" t="s">
        <v>84</v>
      </c>
      <c r="C24" s="2" t="s">
        <v>84</v>
      </c>
      <c r="D24" s="2" t="s">
        <v>227</v>
      </c>
      <c r="E24" s="2" t="s">
        <v>228</v>
      </c>
      <c r="F24" s="2" t="s">
        <v>229</v>
      </c>
      <c r="G24" s="2" t="s">
        <v>230</v>
      </c>
      <c r="H24" s="2" t="s">
        <v>231</v>
      </c>
      <c r="I24" s="2" t="s">
        <v>90</v>
      </c>
      <c r="J24" s="2" t="s">
        <v>11</v>
      </c>
      <c r="K24" s="2" t="s">
        <v>13</v>
      </c>
      <c r="L24" s="2" t="s">
        <v>232</v>
      </c>
      <c r="M24" s="2" t="s">
        <v>233</v>
      </c>
      <c r="N24" s="2">
        <v>200</v>
      </c>
      <c r="O24" s="2">
        <v>406</v>
      </c>
      <c r="P24" s="5"/>
      <c r="Q24" s="2"/>
      <c r="R24" s="2" t="s">
        <v>234</v>
      </c>
      <c r="S24" s="2"/>
      <c r="T24" s="5">
        <v>45365.78528935185</v>
      </c>
      <c r="U24" s="5">
        <v>45406.100682870368</v>
      </c>
      <c r="V24" s="2">
        <v>351</v>
      </c>
      <c r="W24" s="2">
        <v>2</v>
      </c>
      <c r="X24" s="2">
        <v>2</v>
      </c>
      <c r="Y24" s="2">
        <v>0</v>
      </c>
      <c r="Z24" s="2">
        <v>246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/>
      <c r="AL24" s="2">
        <v>0</v>
      </c>
      <c r="AM24" s="2">
        <v>0</v>
      </c>
      <c r="AN24" s="6"/>
      <c r="AO24" s="2">
        <v>64</v>
      </c>
      <c r="AP24" s="2">
        <v>0</v>
      </c>
      <c r="AQ24" s="2">
        <v>3</v>
      </c>
      <c r="AR24" s="6">
        <v>0.84375</v>
      </c>
      <c r="AS24" s="6">
        <v>0.109375</v>
      </c>
      <c r="AT24" s="6">
        <v>0.140625</v>
      </c>
      <c r="AU24" s="6">
        <v>0</v>
      </c>
      <c r="AV24" s="7">
        <f t="shared" si="0"/>
        <v>0</v>
      </c>
      <c r="AW24" s="7">
        <f t="shared" si="1"/>
        <v>0</v>
      </c>
      <c r="AX24" s="7">
        <f t="shared" si="2"/>
        <v>0</v>
      </c>
      <c r="AY24" s="7">
        <f t="shared" si="3"/>
        <v>1.8229166666666667</v>
      </c>
      <c r="AZ24" s="7">
        <f t="shared" si="4"/>
        <v>0.45572916666666669</v>
      </c>
      <c r="BA24" s="2">
        <v>0</v>
      </c>
      <c r="BB24" s="2">
        <v>0</v>
      </c>
      <c r="BC24" s="2" t="s">
        <v>95</v>
      </c>
    </row>
    <row r="25" spans="1:55">
      <c r="A25" s="2">
        <v>24</v>
      </c>
      <c r="B25" s="2" t="s">
        <v>84</v>
      </c>
      <c r="C25" s="2" t="s">
        <v>84</v>
      </c>
      <c r="D25" s="2" t="s">
        <v>235</v>
      </c>
      <c r="E25" s="2" t="s">
        <v>228</v>
      </c>
      <c r="F25" s="2" t="s">
        <v>236</v>
      </c>
      <c r="G25" s="2" t="s">
        <v>237</v>
      </c>
      <c r="H25" s="2" t="s">
        <v>231</v>
      </c>
      <c r="I25" s="2" t="s">
        <v>90</v>
      </c>
      <c r="J25" s="2" t="s">
        <v>11</v>
      </c>
      <c r="K25" s="2" t="s">
        <v>13</v>
      </c>
      <c r="L25" s="2" t="s">
        <v>238</v>
      </c>
      <c r="M25" s="2" t="s">
        <v>239</v>
      </c>
      <c r="N25" s="2">
        <v>200</v>
      </c>
      <c r="O25" s="2">
        <v>406</v>
      </c>
      <c r="P25" s="5"/>
      <c r="Q25" s="2"/>
      <c r="R25" s="2" t="s">
        <v>234</v>
      </c>
      <c r="S25" s="2" t="s">
        <v>218</v>
      </c>
      <c r="T25" s="5">
        <v>45248.854525462964</v>
      </c>
      <c r="U25" s="5">
        <v>45365.744664351849</v>
      </c>
      <c r="V25" s="2">
        <v>292</v>
      </c>
      <c r="W25" s="2">
        <v>0</v>
      </c>
      <c r="X25" s="2">
        <v>1</v>
      </c>
      <c r="Y25" s="2">
        <v>0</v>
      </c>
      <c r="Z25" s="2">
        <v>140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/>
      <c r="AL25" s="2">
        <v>0</v>
      </c>
      <c r="AM25" s="2">
        <v>0</v>
      </c>
      <c r="AN25" s="6"/>
      <c r="AO25" s="2">
        <v>100</v>
      </c>
      <c r="AP25" s="2">
        <v>0</v>
      </c>
      <c r="AQ25" s="2">
        <v>3</v>
      </c>
      <c r="AR25" s="6">
        <v>0.9</v>
      </c>
      <c r="AS25" s="6">
        <v>0.05</v>
      </c>
      <c r="AT25" s="6">
        <v>0.06</v>
      </c>
      <c r="AU25" s="6">
        <v>0</v>
      </c>
      <c r="AV25" s="7">
        <f t="shared" si="0"/>
        <v>2.5</v>
      </c>
      <c r="AW25" s="7">
        <f t="shared" si="1"/>
        <v>0</v>
      </c>
      <c r="AX25" s="7">
        <f t="shared" si="2"/>
        <v>0</v>
      </c>
      <c r="AY25" s="7">
        <f t="shared" si="3"/>
        <v>1.6833333333333333</v>
      </c>
      <c r="AZ25" s="7">
        <f t="shared" si="4"/>
        <v>1.0458333333333334</v>
      </c>
      <c r="BA25" s="2">
        <v>0</v>
      </c>
      <c r="BB25" s="2">
        <v>0</v>
      </c>
      <c r="BC25" s="2" t="s">
        <v>95</v>
      </c>
    </row>
    <row r="26" spans="1:55">
      <c r="A26" s="2">
        <v>25</v>
      </c>
      <c r="B26" s="2" t="s">
        <v>240</v>
      </c>
      <c r="C26" s="2" t="s">
        <v>241</v>
      </c>
      <c r="D26" s="2" t="s">
        <v>242</v>
      </c>
      <c r="E26" s="2" t="s">
        <v>243</v>
      </c>
      <c r="F26" s="2" t="s">
        <v>244</v>
      </c>
      <c r="G26" s="2" t="s">
        <v>245</v>
      </c>
      <c r="H26" s="2" t="s">
        <v>246</v>
      </c>
      <c r="I26" s="2" t="s">
        <v>247</v>
      </c>
      <c r="J26" s="2" t="s">
        <v>11</v>
      </c>
      <c r="K26" s="2" t="s">
        <v>13</v>
      </c>
      <c r="L26" s="2" t="s">
        <v>248</v>
      </c>
      <c r="M26" s="2" t="s">
        <v>249</v>
      </c>
      <c r="N26" s="2">
        <v>200</v>
      </c>
      <c r="O26" s="2">
        <v>404</v>
      </c>
      <c r="P26" s="5"/>
      <c r="Q26" s="2"/>
      <c r="R26" s="2" t="s">
        <v>93</v>
      </c>
      <c r="S26" s="2" t="s">
        <v>94</v>
      </c>
      <c r="T26" s="5">
        <v>44544.837152777778</v>
      </c>
      <c r="U26" s="5">
        <v>46234.441111111111</v>
      </c>
      <c r="V26" s="2">
        <v>9317</v>
      </c>
      <c r="W26" s="2">
        <v>31530</v>
      </c>
      <c r="X26" s="2">
        <v>1197</v>
      </c>
      <c r="Y26" s="2">
        <v>376</v>
      </c>
      <c r="Z26" s="2">
        <v>482</v>
      </c>
      <c r="AA26" s="2">
        <v>0</v>
      </c>
      <c r="AB26" s="2">
        <v>0</v>
      </c>
      <c r="AC26" s="2">
        <v>0</v>
      </c>
      <c r="AD26" s="2">
        <v>5</v>
      </c>
      <c r="AE26" s="2">
        <v>0</v>
      </c>
      <c r="AF26" s="2">
        <v>0</v>
      </c>
      <c r="AG26" s="2">
        <v>1</v>
      </c>
      <c r="AH26" s="2">
        <v>1</v>
      </c>
      <c r="AI26" s="2">
        <v>1</v>
      </c>
      <c r="AJ26" s="2">
        <v>0</v>
      </c>
      <c r="AK26" s="2">
        <v>10</v>
      </c>
      <c r="AL26" s="2">
        <v>47</v>
      </c>
      <c r="AM26" s="2">
        <v>47</v>
      </c>
      <c r="AN26" s="6">
        <v>1</v>
      </c>
      <c r="AO26" s="2">
        <v>100</v>
      </c>
      <c r="AP26" s="2">
        <v>100</v>
      </c>
      <c r="AQ26" s="2">
        <v>29</v>
      </c>
      <c r="AR26" s="6">
        <v>0.73</v>
      </c>
      <c r="AS26" s="6">
        <v>0.72</v>
      </c>
      <c r="AT26" s="6">
        <v>0</v>
      </c>
      <c r="AU26" s="6">
        <v>0</v>
      </c>
      <c r="AV26" s="7">
        <f t="shared" si="0"/>
        <v>5</v>
      </c>
      <c r="AW26" s="7">
        <f t="shared" si="1"/>
        <v>3.3333333333333335</v>
      </c>
      <c r="AX26" s="7">
        <f t="shared" si="2"/>
        <v>2</v>
      </c>
      <c r="AY26" s="7">
        <f t="shared" si="3"/>
        <v>7.416666666666667</v>
      </c>
      <c r="AZ26" s="7">
        <f t="shared" si="4"/>
        <v>4.4375</v>
      </c>
      <c r="BA26" s="2">
        <v>0</v>
      </c>
      <c r="BB26" s="2">
        <v>0</v>
      </c>
      <c r="BC26" s="2" t="s">
        <v>95</v>
      </c>
    </row>
    <row r="27" spans="1:55">
      <c r="A27" s="2">
        <v>26</v>
      </c>
      <c r="B27" s="2" t="s">
        <v>240</v>
      </c>
      <c r="C27" s="2" t="s">
        <v>241</v>
      </c>
      <c r="D27" s="2" t="s">
        <v>250</v>
      </c>
      <c r="E27" s="2" t="s">
        <v>251</v>
      </c>
      <c r="F27" s="2" t="s">
        <v>251</v>
      </c>
      <c r="G27" s="2" t="s">
        <v>252</v>
      </c>
      <c r="H27" s="2" t="s">
        <v>253</v>
      </c>
      <c r="I27" s="2" t="s">
        <v>247</v>
      </c>
      <c r="J27" s="2" t="s">
        <v>11</v>
      </c>
      <c r="K27" s="2" t="s">
        <v>13</v>
      </c>
      <c r="L27" s="2" t="s">
        <v>254</v>
      </c>
      <c r="M27" s="2" t="s">
        <v>255</v>
      </c>
      <c r="N27" s="2">
        <v>200</v>
      </c>
      <c r="O27" s="2">
        <v>200</v>
      </c>
      <c r="P27" s="5">
        <v>46230</v>
      </c>
      <c r="Q27" s="2">
        <v>5.9</v>
      </c>
      <c r="R27" s="2" t="s">
        <v>93</v>
      </c>
      <c r="S27" s="2" t="s">
        <v>94</v>
      </c>
      <c r="T27" s="5">
        <v>44030.053599537037</v>
      </c>
      <c r="U27" s="5">
        <v>46229.475266203706</v>
      </c>
      <c r="V27" s="2">
        <v>69162</v>
      </c>
      <c r="W27" s="2">
        <v>40480</v>
      </c>
      <c r="X27" s="2">
        <v>1648</v>
      </c>
      <c r="Y27" s="2">
        <v>259</v>
      </c>
      <c r="Z27" s="2">
        <v>1574</v>
      </c>
      <c r="AA27" s="2">
        <v>1</v>
      </c>
      <c r="AB27" s="2">
        <v>1</v>
      </c>
      <c r="AC27" s="2">
        <v>1</v>
      </c>
      <c r="AD27" s="2">
        <v>12</v>
      </c>
      <c r="AE27" s="2">
        <v>1</v>
      </c>
      <c r="AF27" s="2">
        <v>0</v>
      </c>
      <c r="AG27" s="2">
        <v>1</v>
      </c>
      <c r="AH27" s="2">
        <v>1</v>
      </c>
      <c r="AI27" s="2">
        <v>1</v>
      </c>
      <c r="AJ27" s="2">
        <v>1</v>
      </c>
      <c r="AK27" s="2">
        <v>5</v>
      </c>
      <c r="AL27" s="2">
        <v>36</v>
      </c>
      <c r="AM27" s="2">
        <v>1</v>
      </c>
      <c r="AN27" s="6">
        <v>2.7777777777777776E-2</v>
      </c>
      <c r="AO27" s="2">
        <v>100</v>
      </c>
      <c r="AP27" s="2">
        <v>8</v>
      </c>
      <c r="AQ27" s="2">
        <v>28</v>
      </c>
      <c r="AR27" s="6">
        <v>0.8</v>
      </c>
      <c r="AS27" s="6">
        <v>0.82</v>
      </c>
      <c r="AT27" s="6">
        <v>0</v>
      </c>
      <c r="AU27" s="6">
        <v>0</v>
      </c>
      <c r="AV27" s="7">
        <f t="shared" si="0"/>
        <v>9.5</v>
      </c>
      <c r="AW27" s="7">
        <f t="shared" si="1"/>
        <v>5</v>
      </c>
      <c r="AX27" s="7">
        <f t="shared" si="2"/>
        <v>4.0555555555555554</v>
      </c>
      <c r="AY27" s="7">
        <f t="shared" si="3"/>
        <v>7.3666666666666671</v>
      </c>
      <c r="AZ27" s="7">
        <f t="shared" si="4"/>
        <v>6.4805555555555561</v>
      </c>
      <c r="BA27" s="2">
        <v>12</v>
      </c>
      <c r="BB27" s="2">
        <v>14</v>
      </c>
      <c r="BC27" s="2" t="s">
        <v>95</v>
      </c>
    </row>
    <row r="28" spans="1:55">
      <c r="A28" s="2">
        <v>27</v>
      </c>
      <c r="B28" s="2" t="s">
        <v>240</v>
      </c>
      <c r="C28" s="2" t="s">
        <v>241</v>
      </c>
      <c r="D28" s="2" t="s">
        <v>256</v>
      </c>
      <c r="E28" s="2" t="s">
        <v>257</v>
      </c>
      <c r="F28" s="2" t="s">
        <v>258</v>
      </c>
      <c r="G28" s="2" t="s">
        <v>259</v>
      </c>
      <c r="H28" s="2" t="s">
        <v>260</v>
      </c>
      <c r="I28" s="2" t="s">
        <v>247</v>
      </c>
      <c r="J28" s="2" t="s">
        <v>11</v>
      </c>
      <c r="K28" s="2" t="s">
        <v>13</v>
      </c>
      <c r="L28" s="2" t="s">
        <v>261</v>
      </c>
      <c r="M28" s="2" t="s">
        <v>262</v>
      </c>
      <c r="N28" s="2">
        <v>200</v>
      </c>
      <c r="O28" s="2">
        <v>404</v>
      </c>
      <c r="P28" s="5"/>
      <c r="Q28" s="2"/>
      <c r="R28" s="2" t="s">
        <v>93</v>
      </c>
      <c r="S28" s="2" t="s">
        <v>94</v>
      </c>
      <c r="T28" s="5">
        <v>44174.549745370372</v>
      </c>
      <c r="U28" s="5">
        <v>46233.823564814818</v>
      </c>
      <c r="V28" s="2">
        <v>1646</v>
      </c>
      <c r="W28" s="2">
        <v>5340</v>
      </c>
      <c r="X28" s="2">
        <v>188</v>
      </c>
      <c r="Y28" s="2">
        <v>116</v>
      </c>
      <c r="Z28" s="2">
        <v>33</v>
      </c>
      <c r="AA28" s="2">
        <v>0</v>
      </c>
      <c r="AB28" s="2">
        <v>0</v>
      </c>
      <c r="AC28" s="2">
        <v>1</v>
      </c>
      <c r="AD28" s="2">
        <v>2</v>
      </c>
      <c r="AE28" s="2">
        <v>0</v>
      </c>
      <c r="AF28" s="2">
        <v>0</v>
      </c>
      <c r="AG28" s="2">
        <v>1</v>
      </c>
      <c r="AH28" s="2">
        <v>0</v>
      </c>
      <c r="AI28" s="2">
        <v>1</v>
      </c>
      <c r="AJ28" s="2">
        <v>0</v>
      </c>
      <c r="AK28" s="2">
        <v>10</v>
      </c>
      <c r="AL28" s="2">
        <v>6</v>
      </c>
      <c r="AM28" s="2">
        <v>1</v>
      </c>
      <c r="AN28" s="6">
        <v>0.16666666666666666</v>
      </c>
      <c r="AO28" s="2">
        <v>100</v>
      </c>
      <c r="AP28" s="2">
        <v>2</v>
      </c>
      <c r="AQ28" s="2">
        <v>26</v>
      </c>
      <c r="AR28" s="6">
        <v>0.98</v>
      </c>
      <c r="AS28" s="6">
        <v>0.64</v>
      </c>
      <c r="AT28" s="6">
        <v>0.01</v>
      </c>
      <c r="AU28" s="6">
        <v>0</v>
      </c>
      <c r="AV28" s="7">
        <f t="shared" si="0"/>
        <v>5.5</v>
      </c>
      <c r="AW28" s="7">
        <f t="shared" si="1"/>
        <v>3.3333333333333335</v>
      </c>
      <c r="AX28" s="7">
        <f t="shared" si="2"/>
        <v>2.333333333333333</v>
      </c>
      <c r="AY28" s="7">
        <f t="shared" si="3"/>
        <v>4.7166666666666677</v>
      </c>
      <c r="AZ28" s="7">
        <f t="shared" si="4"/>
        <v>3.9708333333333341</v>
      </c>
      <c r="BA28" s="2">
        <v>0</v>
      </c>
      <c r="BB28" s="2">
        <v>0</v>
      </c>
      <c r="BC28" s="2" t="s">
        <v>95</v>
      </c>
    </row>
    <row r="29" spans="1:55">
      <c r="A29" s="2">
        <v>28</v>
      </c>
      <c r="B29" s="2" t="s">
        <v>240</v>
      </c>
      <c r="C29" s="2" t="s">
        <v>241</v>
      </c>
      <c r="D29" s="2" t="s">
        <v>263</v>
      </c>
      <c r="E29" s="2" t="s">
        <v>264</v>
      </c>
      <c r="F29" s="2" t="s">
        <v>265</v>
      </c>
      <c r="G29" s="2" t="s">
        <v>266</v>
      </c>
      <c r="H29" s="2" t="s">
        <v>267</v>
      </c>
      <c r="I29" s="2" t="s">
        <v>247</v>
      </c>
      <c r="J29" s="2" t="s">
        <v>11</v>
      </c>
      <c r="K29" s="2" t="s">
        <v>13</v>
      </c>
      <c r="L29" s="2" t="s">
        <v>268</v>
      </c>
      <c r="M29" s="2" t="s">
        <v>269</v>
      </c>
      <c r="N29" s="2">
        <v>200</v>
      </c>
      <c r="O29" s="2">
        <v>200</v>
      </c>
      <c r="P29" s="5">
        <v>46230</v>
      </c>
      <c r="Q29" s="2">
        <v>6</v>
      </c>
      <c r="R29" s="2" t="s">
        <v>93</v>
      </c>
      <c r="S29" s="2" t="s">
        <v>94</v>
      </c>
      <c r="T29" s="5">
        <v>43162.890196759261</v>
      </c>
      <c r="U29" s="5">
        <v>46231.45103009259</v>
      </c>
      <c r="V29" s="2">
        <v>43095</v>
      </c>
      <c r="W29" s="2">
        <v>11227</v>
      </c>
      <c r="X29" s="2">
        <v>1292</v>
      </c>
      <c r="Y29" s="2">
        <v>268</v>
      </c>
      <c r="Z29" s="2">
        <v>1155</v>
      </c>
      <c r="AA29" s="2">
        <v>0</v>
      </c>
      <c r="AB29" s="2">
        <v>0</v>
      </c>
      <c r="AC29" s="2">
        <v>0</v>
      </c>
      <c r="AD29" s="2">
        <v>5</v>
      </c>
      <c r="AE29" s="2">
        <v>0</v>
      </c>
      <c r="AF29" s="2">
        <v>0</v>
      </c>
      <c r="AG29" s="2">
        <v>1</v>
      </c>
      <c r="AH29" s="2">
        <v>1</v>
      </c>
      <c r="AI29" s="2">
        <v>1</v>
      </c>
      <c r="AJ29" s="2">
        <v>0</v>
      </c>
      <c r="AK29" s="2">
        <v>10</v>
      </c>
      <c r="AL29" s="2">
        <v>41</v>
      </c>
      <c r="AM29" s="2">
        <v>41</v>
      </c>
      <c r="AN29" s="6">
        <v>1</v>
      </c>
      <c r="AO29" s="2">
        <v>100</v>
      </c>
      <c r="AP29" s="2">
        <v>40</v>
      </c>
      <c r="AQ29" s="2">
        <v>23</v>
      </c>
      <c r="AR29" s="6">
        <v>0.56000000000000005</v>
      </c>
      <c r="AS29" s="6">
        <v>0.51</v>
      </c>
      <c r="AT29" s="6">
        <v>0.33</v>
      </c>
      <c r="AU29" s="6">
        <v>0</v>
      </c>
      <c r="AV29" s="7">
        <f t="shared" si="0"/>
        <v>5</v>
      </c>
      <c r="AW29" s="7">
        <f t="shared" si="1"/>
        <v>3.3333333333333335</v>
      </c>
      <c r="AX29" s="7">
        <f t="shared" si="2"/>
        <v>2</v>
      </c>
      <c r="AY29" s="7">
        <f t="shared" si="3"/>
        <v>7.333333333333333</v>
      </c>
      <c r="AZ29" s="7">
        <f t="shared" si="4"/>
        <v>4.416666666666667</v>
      </c>
      <c r="BA29" s="2">
        <v>13</v>
      </c>
      <c r="BB29" s="2">
        <v>14</v>
      </c>
      <c r="BC29" s="2" t="s">
        <v>95</v>
      </c>
    </row>
    <row r="30" spans="1:55">
      <c r="A30" s="2">
        <v>29</v>
      </c>
      <c r="B30" s="2" t="s">
        <v>240</v>
      </c>
      <c r="C30" s="2" t="s">
        <v>241</v>
      </c>
      <c r="D30" s="2" t="s">
        <v>270</v>
      </c>
      <c r="E30" s="2" t="s">
        <v>271</v>
      </c>
      <c r="F30" s="2" t="s">
        <v>272</v>
      </c>
      <c r="G30" s="2" t="s">
        <v>273</v>
      </c>
      <c r="H30" s="2" t="s">
        <v>274</v>
      </c>
      <c r="I30" s="2" t="s">
        <v>247</v>
      </c>
      <c r="J30" s="2" t="s">
        <v>11</v>
      </c>
      <c r="K30" s="2" t="s">
        <v>13</v>
      </c>
      <c r="L30" s="2" t="s">
        <v>275</v>
      </c>
      <c r="M30" s="2" t="s">
        <v>276</v>
      </c>
      <c r="N30" s="2">
        <v>200</v>
      </c>
      <c r="O30" s="2">
        <v>200</v>
      </c>
      <c r="P30" s="5">
        <v>46230</v>
      </c>
      <c r="Q30" s="2">
        <v>5.0999999999999996</v>
      </c>
      <c r="R30" s="2" t="s">
        <v>93</v>
      </c>
      <c r="S30" s="2" t="s">
        <v>94</v>
      </c>
      <c r="T30" s="5">
        <v>43897.874398148146</v>
      </c>
      <c r="U30" s="5">
        <v>46233.937708333331</v>
      </c>
      <c r="V30" s="2">
        <v>24102</v>
      </c>
      <c r="W30" s="2">
        <v>43376</v>
      </c>
      <c r="X30" s="2">
        <v>2104</v>
      </c>
      <c r="Y30" s="2">
        <v>348</v>
      </c>
      <c r="Z30" s="2">
        <v>583</v>
      </c>
      <c r="AA30" s="2">
        <v>1</v>
      </c>
      <c r="AB30" s="2">
        <v>0</v>
      </c>
      <c r="AC30" s="2">
        <v>0</v>
      </c>
      <c r="AD30" s="2">
        <v>6</v>
      </c>
      <c r="AE30" s="2">
        <v>0</v>
      </c>
      <c r="AF30" s="2">
        <v>0</v>
      </c>
      <c r="AG30" s="2">
        <v>1</v>
      </c>
      <c r="AH30" s="2">
        <v>1</v>
      </c>
      <c r="AI30" s="2">
        <v>1</v>
      </c>
      <c r="AJ30" s="2">
        <v>1</v>
      </c>
      <c r="AK30" s="2">
        <v>5</v>
      </c>
      <c r="AL30" s="2">
        <v>32</v>
      </c>
      <c r="AM30" s="2">
        <v>0</v>
      </c>
      <c r="AN30" s="6">
        <v>0</v>
      </c>
      <c r="AO30" s="2">
        <v>100</v>
      </c>
      <c r="AP30" s="2">
        <v>21</v>
      </c>
      <c r="AQ30" s="2">
        <v>31</v>
      </c>
      <c r="AR30" s="6">
        <v>0.82</v>
      </c>
      <c r="AS30" s="6">
        <v>0.49</v>
      </c>
      <c r="AT30" s="6">
        <v>0.01</v>
      </c>
      <c r="AU30" s="6">
        <v>0</v>
      </c>
      <c r="AV30" s="7">
        <f t="shared" si="0"/>
        <v>7.5</v>
      </c>
      <c r="AW30" s="7">
        <f t="shared" si="1"/>
        <v>1.6666666666666667</v>
      </c>
      <c r="AX30" s="7">
        <f t="shared" si="2"/>
        <v>0</v>
      </c>
      <c r="AY30" s="7">
        <f t="shared" si="3"/>
        <v>7.2</v>
      </c>
      <c r="AZ30" s="7">
        <f t="shared" si="4"/>
        <v>4.0916666666666668</v>
      </c>
      <c r="BA30" s="2">
        <v>11</v>
      </c>
      <c r="BB30" s="2">
        <v>14</v>
      </c>
      <c r="BC30" s="2" t="s">
        <v>95</v>
      </c>
    </row>
    <row r="31" spans="1:55">
      <c r="A31" s="2">
        <v>30</v>
      </c>
      <c r="B31" s="2" t="s">
        <v>240</v>
      </c>
      <c r="C31" s="2" t="s">
        <v>241</v>
      </c>
      <c r="D31" s="2" t="s">
        <v>277</v>
      </c>
      <c r="E31" s="2" t="s">
        <v>278</v>
      </c>
      <c r="F31" s="2" t="s">
        <v>279</v>
      </c>
      <c r="G31" s="2" t="s">
        <v>280</v>
      </c>
      <c r="H31" s="2" t="s">
        <v>281</v>
      </c>
      <c r="I31" s="2" t="s">
        <v>247</v>
      </c>
      <c r="J31" s="2" t="s">
        <v>11</v>
      </c>
      <c r="K31" s="2" t="s">
        <v>13</v>
      </c>
      <c r="L31" s="2" t="s">
        <v>282</v>
      </c>
      <c r="M31" s="2" t="s">
        <v>283</v>
      </c>
      <c r="N31" s="2">
        <v>200</v>
      </c>
      <c r="O31" s="2">
        <v>200</v>
      </c>
      <c r="P31" s="5">
        <v>46230</v>
      </c>
      <c r="Q31" s="2">
        <v>7</v>
      </c>
      <c r="R31" s="2" t="s">
        <v>93</v>
      </c>
      <c r="S31" s="2" t="s">
        <v>94</v>
      </c>
      <c r="T31" s="5">
        <v>43942.211076388892</v>
      </c>
      <c r="U31" s="5">
        <v>46234.438784722224</v>
      </c>
      <c r="V31" s="2">
        <v>73039</v>
      </c>
      <c r="W31" s="2">
        <v>82157</v>
      </c>
      <c r="X31" s="2">
        <v>8591</v>
      </c>
      <c r="Y31" s="2">
        <v>748</v>
      </c>
      <c r="Z31" s="2">
        <v>2785</v>
      </c>
      <c r="AA31" s="2">
        <v>1</v>
      </c>
      <c r="AB31" s="2">
        <v>0</v>
      </c>
      <c r="AC31" s="2">
        <v>1</v>
      </c>
      <c r="AD31" s="2">
        <v>12</v>
      </c>
      <c r="AE31" s="2">
        <v>1</v>
      </c>
      <c r="AF31" s="2">
        <v>0</v>
      </c>
      <c r="AG31" s="2">
        <v>1</v>
      </c>
      <c r="AH31" s="2">
        <v>1</v>
      </c>
      <c r="AI31" s="2">
        <v>1</v>
      </c>
      <c r="AJ31" s="2">
        <v>1</v>
      </c>
      <c r="AK31" s="2">
        <v>5</v>
      </c>
      <c r="AL31" s="2">
        <v>37</v>
      </c>
      <c r="AM31" s="2">
        <v>37</v>
      </c>
      <c r="AN31" s="6">
        <v>1</v>
      </c>
      <c r="AO31" s="2">
        <v>100</v>
      </c>
      <c r="AP31" s="2">
        <v>100</v>
      </c>
      <c r="AQ31" s="2">
        <v>30</v>
      </c>
      <c r="AR31" s="6">
        <v>0.92</v>
      </c>
      <c r="AS31" s="6">
        <v>0.92</v>
      </c>
      <c r="AT31" s="6">
        <v>0</v>
      </c>
      <c r="AU31" s="6">
        <v>0</v>
      </c>
      <c r="AV31" s="7">
        <f t="shared" si="0"/>
        <v>10</v>
      </c>
      <c r="AW31" s="7">
        <f t="shared" si="1"/>
        <v>1.6666666666666667</v>
      </c>
      <c r="AX31" s="7">
        <f t="shared" si="2"/>
        <v>6</v>
      </c>
      <c r="AY31" s="7">
        <f t="shared" si="3"/>
        <v>8.0666666666666682</v>
      </c>
      <c r="AZ31" s="7">
        <f t="shared" si="4"/>
        <v>6.4333333333333336</v>
      </c>
      <c r="BA31" s="2">
        <v>11</v>
      </c>
      <c r="BB31" s="2">
        <v>14</v>
      </c>
      <c r="BC31" s="2" t="s">
        <v>95</v>
      </c>
    </row>
    <row r="32" spans="1:55">
      <c r="A32" s="2">
        <v>31</v>
      </c>
      <c r="B32" s="2" t="s">
        <v>240</v>
      </c>
      <c r="C32" s="2" t="s">
        <v>241</v>
      </c>
      <c r="D32" s="2" t="s">
        <v>284</v>
      </c>
      <c r="E32" s="2" t="s">
        <v>285</v>
      </c>
      <c r="F32" s="2" t="s">
        <v>286</v>
      </c>
      <c r="G32" s="2" t="s">
        <v>287</v>
      </c>
      <c r="H32" s="2" t="s">
        <v>288</v>
      </c>
      <c r="I32" s="2" t="s">
        <v>247</v>
      </c>
      <c r="J32" s="2" t="s">
        <v>11</v>
      </c>
      <c r="K32" s="2" t="s">
        <v>13</v>
      </c>
      <c r="L32" s="2" t="s">
        <v>289</v>
      </c>
      <c r="M32" s="2" t="s">
        <v>290</v>
      </c>
      <c r="N32" s="2">
        <v>200</v>
      </c>
      <c r="O32" s="2">
        <v>200</v>
      </c>
      <c r="P32" s="5">
        <v>46230</v>
      </c>
      <c r="Q32" s="2">
        <v>6.9</v>
      </c>
      <c r="R32" s="2" t="s">
        <v>93</v>
      </c>
      <c r="S32" s="2" t="s">
        <v>94</v>
      </c>
      <c r="T32" s="5">
        <v>42770.842268518521</v>
      </c>
      <c r="U32" s="5">
        <v>46234.902962962966</v>
      </c>
      <c r="V32" s="2">
        <v>486327</v>
      </c>
      <c r="W32" s="2">
        <v>76275</v>
      </c>
      <c r="X32" s="2">
        <v>8433</v>
      </c>
      <c r="Y32" s="2">
        <v>49</v>
      </c>
      <c r="Z32" s="2">
        <v>2128</v>
      </c>
      <c r="AA32" s="2">
        <v>1</v>
      </c>
      <c r="AB32" s="2">
        <v>0</v>
      </c>
      <c r="AC32" s="2">
        <v>1</v>
      </c>
      <c r="AD32" s="2">
        <v>1</v>
      </c>
      <c r="AE32" s="2">
        <v>1</v>
      </c>
      <c r="AF32" s="2">
        <v>0</v>
      </c>
      <c r="AG32" s="2">
        <v>0</v>
      </c>
      <c r="AH32" s="2">
        <v>1</v>
      </c>
      <c r="AI32" s="2">
        <v>1</v>
      </c>
      <c r="AJ32" s="2">
        <v>0</v>
      </c>
      <c r="AK32" s="2">
        <v>10</v>
      </c>
      <c r="AL32" s="2">
        <v>4</v>
      </c>
      <c r="AM32" s="2">
        <v>0</v>
      </c>
      <c r="AN32" s="6">
        <v>0</v>
      </c>
      <c r="AO32" s="2">
        <v>100</v>
      </c>
      <c r="AP32" s="2">
        <v>100</v>
      </c>
      <c r="AQ32" s="2">
        <v>13</v>
      </c>
      <c r="AR32" s="6">
        <v>0.49</v>
      </c>
      <c r="AS32" s="6">
        <v>0.48</v>
      </c>
      <c r="AT32" s="6">
        <v>0.48</v>
      </c>
      <c r="AU32" s="6">
        <v>0</v>
      </c>
      <c r="AV32" s="7">
        <f t="shared" si="0"/>
        <v>10</v>
      </c>
      <c r="AW32" s="7">
        <f t="shared" si="1"/>
        <v>3.3333333333333335</v>
      </c>
      <c r="AX32" s="7">
        <f t="shared" si="2"/>
        <v>4</v>
      </c>
      <c r="AY32" s="7">
        <f t="shared" si="3"/>
        <v>5.75</v>
      </c>
      <c r="AZ32" s="7">
        <f t="shared" si="4"/>
        <v>5.7708333333333339</v>
      </c>
      <c r="BA32" s="2">
        <v>12</v>
      </c>
      <c r="BB32" s="2">
        <v>14</v>
      </c>
      <c r="BC32" s="2" t="s">
        <v>95</v>
      </c>
    </row>
    <row r="33" spans="1:55">
      <c r="A33" s="2">
        <v>32</v>
      </c>
      <c r="B33" s="2" t="s">
        <v>240</v>
      </c>
      <c r="C33" s="2" t="s">
        <v>241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247</v>
      </c>
      <c r="J33" s="2" t="s">
        <v>11</v>
      </c>
      <c r="K33" s="2" t="s">
        <v>13</v>
      </c>
      <c r="L33" s="2" t="s">
        <v>296</v>
      </c>
      <c r="M33" s="2" t="s">
        <v>297</v>
      </c>
      <c r="N33" s="2">
        <v>200</v>
      </c>
      <c r="O33" s="2">
        <v>200</v>
      </c>
      <c r="P33" s="5">
        <v>46230</v>
      </c>
      <c r="Q33" s="2">
        <v>6.9</v>
      </c>
      <c r="R33" s="2" t="s">
        <v>93</v>
      </c>
      <c r="S33" s="2" t="s">
        <v>94</v>
      </c>
      <c r="T33" s="5">
        <v>43665.719131944446</v>
      </c>
      <c r="U33" s="5">
        <v>46230.571712962963</v>
      </c>
      <c r="V33" s="2">
        <v>6908</v>
      </c>
      <c r="W33" s="2">
        <v>8574</v>
      </c>
      <c r="X33" s="2">
        <v>2672</v>
      </c>
      <c r="Y33" s="2">
        <v>683</v>
      </c>
      <c r="Z33" s="2">
        <v>101</v>
      </c>
      <c r="AA33" s="2">
        <v>0</v>
      </c>
      <c r="AB33" s="2">
        <v>1</v>
      </c>
      <c r="AC33" s="2">
        <v>1</v>
      </c>
      <c r="AD33" s="2">
        <v>7</v>
      </c>
      <c r="AE33" s="2">
        <v>1</v>
      </c>
      <c r="AF33" s="2">
        <v>0</v>
      </c>
      <c r="AG33" s="2">
        <v>1</v>
      </c>
      <c r="AH33" s="2">
        <v>1</v>
      </c>
      <c r="AI33" s="2">
        <v>1</v>
      </c>
      <c r="AJ33" s="2">
        <v>0</v>
      </c>
      <c r="AK33" s="2">
        <v>10</v>
      </c>
      <c r="AL33" s="2">
        <v>21</v>
      </c>
      <c r="AM33" s="2">
        <v>0</v>
      </c>
      <c r="AN33" s="6">
        <v>0</v>
      </c>
      <c r="AO33" s="2">
        <v>100</v>
      </c>
      <c r="AP33" s="2">
        <v>25</v>
      </c>
      <c r="AQ33" s="2">
        <v>26</v>
      </c>
      <c r="AR33" s="6">
        <v>0.02</v>
      </c>
      <c r="AS33" s="6">
        <v>1</v>
      </c>
      <c r="AT33" s="6">
        <v>0</v>
      </c>
      <c r="AU33" s="6">
        <v>0</v>
      </c>
      <c r="AV33" s="7">
        <f t="shared" si="0"/>
        <v>7.5</v>
      </c>
      <c r="AW33" s="7">
        <f t="shared" si="1"/>
        <v>6.666666666666667</v>
      </c>
      <c r="AX33" s="7">
        <f t="shared" si="2"/>
        <v>4</v>
      </c>
      <c r="AY33" s="7">
        <f t="shared" si="3"/>
        <v>6.7</v>
      </c>
      <c r="AZ33" s="7">
        <f t="shared" si="4"/>
        <v>6.2166666666666668</v>
      </c>
      <c r="BA33" s="2">
        <v>12</v>
      </c>
      <c r="BB33" s="2">
        <v>14</v>
      </c>
      <c r="BC33" s="2" t="s">
        <v>95</v>
      </c>
    </row>
    <row r="34" spans="1:55">
      <c r="A34" s="2">
        <v>33</v>
      </c>
      <c r="B34" s="2" t="s">
        <v>240</v>
      </c>
      <c r="C34" s="2" t="s">
        <v>241</v>
      </c>
      <c r="D34" s="2" t="s">
        <v>298</v>
      </c>
      <c r="E34" s="2" t="s">
        <v>299</v>
      </c>
      <c r="F34" s="2" t="s">
        <v>300</v>
      </c>
      <c r="G34" s="2" t="s">
        <v>301</v>
      </c>
      <c r="H34" s="2" t="s">
        <v>302</v>
      </c>
      <c r="I34" s="2" t="s">
        <v>247</v>
      </c>
      <c r="J34" s="2" t="s">
        <v>11</v>
      </c>
      <c r="K34" s="2" t="s">
        <v>13</v>
      </c>
      <c r="L34" s="2" t="s">
        <v>303</v>
      </c>
      <c r="M34" s="2" t="s">
        <v>304</v>
      </c>
      <c r="N34" s="2">
        <v>200</v>
      </c>
      <c r="O34" s="2">
        <v>200</v>
      </c>
      <c r="P34" s="5">
        <v>46230</v>
      </c>
      <c r="Q34" s="2">
        <v>7.1</v>
      </c>
      <c r="R34" s="2" t="s">
        <v>137</v>
      </c>
      <c r="S34" s="2" t="s">
        <v>305</v>
      </c>
      <c r="T34" s="5">
        <v>40274.46665509259</v>
      </c>
      <c r="U34" s="5">
        <v>46233.729085648149</v>
      </c>
      <c r="V34" s="2">
        <v>12186</v>
      </c>
      <c r="W34" s="2">
        <v>72013</v>
      </c>
      <c r="X34" s="2">
        <v>16922</v>
      </c>
      <c r="Y34" s="2">
        <v>7</v>
      </c>
      <c r="Z34" s="2">
        <v>236</v>
      </c>
      <c r="AA34" s="2">
        <v>0</v>
      </c>
      <c r="AB34" s="2">
        <v>0</v>
      </c>
      <c r="AC34" s="2">
        <v>0</v>
      </c>
      <c r="AD34" s="2">
        <v>5</v>
      </c>
      <c r="AE34" s="2">
        <v>0</v>
      </c>
      <c r="AF34" s="2">
        <v>0</v>
      </c>
      <c r="AG34" s="2">
        <v>1</v>
      </c>
      <c r="AH34" s="2">
        <v>1</v>
      </c>
      <c r="AI34" s="2">
        <v>1</v>
      </c>
      <c r="AJ34" s="2">
        <v>1</v>
      </c>
      <c r="AK34" s="2">
        <v>5</v>
      </c>
      <c r="AL34" s="2">
        <v>21</v>
      </c>
      <c r="AM34" s="2">
        <v>21</v>
      </c>
      <c r="AN34" s="6">
        <v>1</v>
      </c>
      <c r="AO34" s="2">
        <v>100</v>
      </c>
      <c r="AP34" s="2">
        <v>10</v>
      </c>
      <c r="AQ34" s="2">
        <v>10</v>
      </c>
      <c r="AR34" s="6">
        <v>0.01</v>
      </c>
      <c r="AS34" s="6">
        <v>0.25</v>
      </c>
      <c r="AT34" s="6">
        <v>0.41</v>
      </c>
      <c r="AU34" s="6">
        <v>0</v>
      </c>
      <c r="AV34" s="7">
        <f t="shared" si="0"/>
        <v>5</v>
      </c>
      <c r="AW34" s="7">
        <f t="shared" si="1"/>
        <v>1.6666666666666667</v>
      </c>
      <c r="AX34" s="7">
        <f t="shared" si="2"/>
        <v>2</v>
      </c>
      <c r="AY34" s="7">
        <f t="shared" si="3"/>
        <v>6.1166666666666671</v>
      </c>
      <c r="AZ34" s="7">
        <f t="shared" si="4"/>
        <v>3.6958333333333337</v>
      </c>
      <c r="BA34" s="2">
        <v>14</v>
      </c>
      <c r="BB34" s="2">
        <v>14</v>
      </c>
      <c r="BC34" s="2" t="s">
        <v>95</v>
      </c>
    </row>
    <row r="35" spans="1:55">
      <c r="A35" s="2">
        <v>34</v>
      </c>
      <c r="B35" s="2" t="s">
        <v>240</v>
      </c>
      <c r="C35" s="2" t="s">
        <v>241</v>
      </c>
      <c r="D35" s="2" t="s">
        <v>306</v>
      </c>
      <c r="E35" s="2" t="s">
        <v>307</v>
      </c>
      <c r="F35" s="2" t="s">
        <v>308</v>
      </c>
      <c r="G35" s="2" t="s">
        <v>309</v>
      </c>
      <c r="H35" s="2" t="s">
        <v>310</v>
      </c>
      <c r="I35" s="2" t="s">
        <v>247</v>
      </c>
      <c r="J35" s="2" t="s">
        <v>11</v>
      </c>
      <c r="K35" s="2" t="s">
        <v>13</v>
      </c>
      <c r="L35" s="2" t="s">
        <v>311</v>
      </c>
      <c r="M35" s="2" t="s">
        <v>312</v>
      </c>
      <c r="N35" s="2">
        <v>200</v>
      </c>
      <c r="O35" s="2">
        <v>200</v>
      </c>
      <c r="P35" s="5">
        <v>46230</v>
      </c>
      <c r="Q35" s="2">
        <v>8.1999999999999993</v>
      </c>
      <c r="R35" s="2" t="s">
        <v>137</v>
      </c>
      <c r="S35" s="2" t="s">
        <v>218</v>
      </c>
      <c r="T35" s="5">
        <v>40587.776585648149</v>
      </c>
      <c r="U35" s="5">
        <v>46230.725821759261</v>
      </c>
      <c r="V35" s="2">
        <v>13573</v>
      </c>
      <c r="W35" s="2">
        <v>54199</v>
      </c>
      <c r="X35" s="2">
        <v>10051</v>
      </c>
      <c r="Y35" s="2">
        <v>233</v>
      </c>
      <c r="Z35" s="2">
        <v>130</v>
      </c>
      <c r="AA35" s="2">
        <v>1</v>
      </c>
      <c r="AB35" s="2">
        <v>1</v>
      </c>
      <c r="AC35" s="2">
        <v>1</v>
      </c>
      <c r="AD35" s="2">
        <v>8</v>
      </c>
      <c r="AE35" s="2">
        <v>1</v>
      </c>
      <c r="AF35" s="2">
        <v>0</v>
      </c>
      <c r="AG35" s="2">
        <v>1</v>
      </c>
      <c r="AH35" s="2">
        <v>1</v>
      </c>
      <c r="AI35" s="2">
        <v>1</v>
      </c>
      <c r="AJ35" s="2">
        <v>0</v>
      </c>
      <c r="AK35" s="2">
        <v>10</v>
      </c>
      <c r="AL35" s="2">
        <v>24</v>
      </c>
      <c r="AM35" s="2">
        <v>24</v>
      </c>
      <c r="AN35" s="6">
        <v>1</v>
      </c>
      <c r="AO35" s="2">
        <v>100</v>
      </c>
      <c r="AP35" s="2">
        <v>44</v>
      </c>
      <c r="AQ35" s="2">
        <v>24</v>
      </c>
      <c r="AR35" s="6">
        <v>7.0000000000000007E-2</v>
      </c>
      <c r="AS35" s="6">
        <v>0.74</v>
      </c>
      <c r="AT35" s="6">
        <v>0.04</v>
      </c>
      <c r="AU35" s="6">
        <v>0</v>
      </c>
      <c r="AV35" s="7">
        <f t="shared" si="0"/>
        <v>10</v>
      </c>
      <c r="AW35" s="7">
        <f t="shared" si="1"/>
        <v>6.666666666666667</v>
      </c>
      <c r="AX35" s="7">
        <f t="shared" si="2"/>
        <v>6</v>
      </c>
      <c r="AY35" s="7">
        <f t="shared" si="3"/>
        <v>6.416666666666667</v>
      </c>
      <c r="AZ35" s="7">
        <f t="shared" si="4"/>
        <v>7.2708333333333339</v>
      </c>
      <c r="BA35" s="2">
        <v>13</v>
      </c>
      <c r="BB35" s="2">
        <v>14</v>
      </c>
      <c r="BC35" s="2" t="s">
        <v>95</v>
      </c>
    </row>
    <row r="36" spans="1:55">
      <c r="A36" s="2">
        <v>35</v>
      </c>
      <c r="B36" s="2" t="s">
        <v>240</v>
      </c>
      <c r="C36" s="2" t="s">
        <v>241</v>
      </c>
      <c r="D36" s="2" t="s">
        <v>313</v>
      </c>
      <c r="E36" s="2" t="s">
        <v>314</v>
      </c>
      <c r="F36" s="2" t="s">
        <v>314</v>
      </c>
      <c r="G36" s="2" t="s">
        <v>315</v>
      </c>
      <c r="H36" s="2" t="s">
        <v>316</v>
      </c>
      <c r="I36" s="2" t="s">
        <v>247</v>
      </c>
      <c r="J36" s="2" t="s">
        <v>11</v>
      </c>
      <c r="K36" s="2" t="s">
        <v>13</v>
      </c>
      <c r="L36" s="2" t="s">
        <v>317</v>
      </c>
      <c r="M36" s="2" t="s">
        <v>318</v>
      </c>
      <c r="N36" s="2">
        <v>200</v>
      </c>
      <c r="O36" s="2">
        <v>200</v>
      </c>
      <c r="P36" s="5">
        <v>46230</v>
      </c>
      <c r="Q36" s="2">
        <v>7</v>
      </c>
      <c r="R36" s="2" t="s">
        <v>137</v>
      </c>
      <c r="S36" s="2" t="s">
        <v>94</v>
      </c>
      <c r="T36" s="5">
        <v>42858.891643518517</v>
      </c>
      <c r="U36" s="5">
        <v>46234.579398148147</v>
      </c>
      <c r="V36" s="2">
        <v>424497</v>
      </c>
      <c r="W36" s="2">
        <v>28438</v>
      </c>
      <c r="X36" s="2">
        <v>2839</v>
      </c>
      <c r="Y36" s="2">
        <v>584</v>
      </c>
      <c r="Z36" s="2">
        <v>782</v>
      </c>
      <c r="AA36" s="2">
        <v>0</v>
      </c>
      <c r="AB36" s="2">
        <v>0</v>
      </c>
      <c r="AC36" s="2">
        <v>1</v>
      </c>
      <c r="AD36" s="2">
        <v>10</v>
      </c>
      <c r="AE36" s="2">
        <v>0</v>
      </c>
      <c r="AF36" s="2">
        <v>0</v>
      </c>
      <c r="AG36" s="2">
        <v>1</v>
      </c>
      <c r="AH36" s="2">
        <v>1</v>
      </c>
      <c r="AI36" s="2">
        <v>1</v>
      </c>
      <c r="AJ36" s="2">
        <v>1</v>
      </c>
      <c r="AK36" s="2">
        <v>5</v>
      </c>
      <c r="AL36" s="2">
        <v>171</v>
      </c>
      <c r="AM36" s="2">
        <v>171</v>
      </c>
      <c r="AN36" s="6">
        <v>1</v>
      </c>
      <c r="AO36" s="2">
        <v>100</v>
      </c>
      <c r="AP36" s="2">
        <v>100</v>
      </c>
      <c r="AQ36" s="2">
        <v>34</v>
      </c>
      <c r="AR36" s="6">
        <v>0.02</v>
      </c>
      <c r="AS36" s="6">
        <v>1</v>
      </c>
      <c r="AT36" s="6">
        <v>0</v>
      </c>
      <c r="AU36" s="6">
        <v>0</v>
      </c>
      <c r="AV36" s="7">
        <f t="shared" si="0"/>
        <v>7.5</v>
      </c>
      <c r="AW36" s="7">
        <f t="shared" si="1"/>
        <v>1.6666666666666667</v>
      </c>
      <c r="AX36" s="7">
        <f t="shared" si="2"/>
        <v>4</v>
      </c>
      <c r="AY36" s="7">
        <f t="shared" si="3"/>
        <v>6.7</v>
      </c>
      <c r="AZ36" s="7">
        <f t="shared" si="4"/>
        <v>4.9666666666666668</v>
      </c>
      <c r="BA36" s="2">
        <v>13</v>
      </c>
      <c r="BB36" s="2">
        <v>14</v>
      </c>
      <c r="BC36" s="2" t="s">
        <v>95</v>
      </c>
    </row>
    <row r="37" spans="1:55">
      <c r="A37" s="2">
        <v>36</v>
      </c>
      <c r="B37" s="2" t="s">
        <v>240</v>
      </c>
      <c r="C37" s="2" t="s">
        <v>241</v>
      </c>
      <c r="D37" s="2" t="s">
        <v>319</v>
      </c>
      <c r="E37" s="2" t="s">
        <v>320</v>
      </c>
      <c r="F37" s="2" t="s">
        <v>320</v>
      </c>
      <c r="G37" s="2" t="s">
        <v>321</v>
      </c>
      <c r="H37" s="2" t="s">
        <v>322</v>
      </c>
      <c r="I37" s="2" t="s">
        <v>247</v>
      </c>
      <c r="J37" s="2" t="s">
        <v>11</v>
      </c>
      <c r="K37" s="2" t="s">
        <v>13</v>
      </c>
      <c r="L37" s="2" t="s">
        <v>323</v>
      </c>
      <c r="M37" s="2" t="s">
        <v>324</v>
      </c>
      <c r="N37" s="2">
        <v>200</v>
      </c>
      <c r="O37" s="2">
        <v>406</v>
      </c>
      <c r="P37" s="5"/>
      <c r="Q37" s="2"/>
      <c r="R37" s="2" t="s">
        <v>137</v>
      </c>
      <c r="S37" s="2" t="s">
        <v>94</v>
      </c>
      <c r="T37" s="5">
        <v>43442.348460648151</v>
      </c>
      <c r="U37" s="5">
        <v>46232.72042824074</v>
      </c>
      <c r="V37" s="2">
        <v>53102</v>
      </c>
      <c r="W37" s="2">
        <v>101112</v>
      </c>
      <c r="X37" s="2">
        <v>9717</v>
      </c>
      <c r="Y37" s="2">
        <v>73</v>
      </c>
      <c r="Z37" s="2">
        <v>3137</v>
      </c>
      <c r="AA37" s="2">
        <v>0</v>
      </c>
      <c r="AB37" s="2">
        <v>0</v>
      </c>
      <c r="AC37" s="2">
        <v>1</v>
      </c>
      <c r="AD37" s="2">
        <v>22</v>
      </c>
      <c r="AE37" s="2">
        <v>0</v>
      </c>
      <c r="AF37" s="2">
        <v>0</v>
      </c>
      <c r="AG37" s="2">
        <v>1</v>
      </c>
      <c r="AH37" s="2">
        <v>1</v>
      </c>
      <c r="AI37" s="2">
        <v>1</v>
      </c>
      <c r="AJ37" s="2">
        <v>1</v>
      </c>
      <c r="AK37" s="2">
        <v>5</v>
      </c>
      <c r="AL37" s="2">
        <v>94</v>
      </c>
      <c r="AM37" s="2">
        <v>94</v>
      </c>
      <c r="AN37" s="6">
        <v>1</v>
      </c>
      <c r="AO37" s="2">
        <v>100</v>
      </c>
      <c r="AP37" s="2">
        <v>100</v>
      </c>
      <c r="AQ37" s="2">
        <v>9</v>
      </c>
      <c r="AR37" s="6">
        <v>0</v>
      </c>
      <c r="AS37" s="6">
        <v>0.57999999999999996</v>
      </c>
      <c r="AT37" s="6">
        <v>0</v>
      </c>
      <c r="AU37" s="6">
        <v>0</v>
      </c>
      <c r="AV37" s="7">
        <f t="shared" si="0"/>
        <v>7.5</v>
      </c>
      <c r="AW37" s="7">
        <f t="shared" si="1"/>
        <v>1.6666666666666667</v>
      </c>
      <c r="AX37" s="7">
        <f t="shared" si="2"/>
        <v>4</v>
      </c>
      <c r="AY37" s="7">
        <f t="shared" si="3"/>
        <v>5.9666666666666659</v>
      </c>
      <c r="AZ37" s="7">
        <f t="shared" si="4"/>
        <v>4.7833333333333332</v>
      </c>
      <c r="BA37" s="2">
        <v>0</v>
      </c>
      <c r="BB37" s="2">
        <v>0</v>
      </c>
      <c r="BC37" s="2" t="s">
        <v>95</v>
      </c>
    </row>
    <row r="38" spans="1:55">
      <c r="A38" s="2">
        <v>37</v>
      </c>
      <c r="B38" s="2" t="s">
        <v>240</v>
      </c>
      <c r="C38" s="2" t="s">
        <v>241</v>
      </c>
      <c r="D38" s="2" t="s">
        <v>325</v>
      </c>
      <c r="E38" s="2" t="s">
        <v>326</v>
      </c>
      <c r="F38" s="2" t="s">
        <v>326</v>
      </c>
      <c r="G38" s="2" t="s">
        <v>327</v>
      </c>
      <c r="H38" s="2" t="s">
        <v>328</v>
      </c>
      <c r="I38" s="2" t="s">
        <v>247</v>
      </c>
      <c r="J38" s="2" t="s">
        <v>11</v>
      </c>
      <c r="K38" s="2" t="s">
        <v>13</v>
      </c>
      <c r="L38" s="2" t="s">
        <v>329</v>
      </c>
      <c r="M38" s="2" t="s">
        <v>330</v>
      </c>
      <c r="N38" s="2">
        <v>200</v>
      </c>
      <c r="O38" s="2">
        <v>200</v>
      </c>
      <c r="P38" s="5">
        <v>46230</v>
      </c>
      <c r="Q38" s="2">
        <v>5.8</v>
      </c>
      <c r="R38" s="2" t="s">
        <v>137</v>
      </c>
      <c r="S38" s="2" t="s">
        <v>305</v>
      </c>
      <c r="T38" s="5">
        <v>40231.084189814814</v>
      </c>
      <c r="U38" s="5">
        <v>46234.75199074074</v>
      </c>
      <c r="V38" s="2">
        <v>31272</v>
      </c>
      <c r="W38" s="2">
        <v>63518</v>
      </c>
      <c r="X38" s="2">
        <v>11824</v>
      </c>
      <c r="Y38" s="2">
        <v>561</v>
      </c>
      <c r="Z38" s="2">
        <v>663</v>
      </c>
      <c r="AA38" s="2">
        <v>1</v>
      </c>
      <c r="AB38" s="2">
        <v>0</v>
      </c>
      <c r="AC38" s="2">
        <v>1</v>
      </c>
      <c r="AD38" s="2">
        <v>7</v>
      </c>
      <c r="AE38" s="2">
        <v>0</v>
      </c>
      <c r="AF38" s="2">
        <v>0</v>
      </c>
      <c r="AG38" s="2">
        <v>1</v>
      </c>
      <c r="AH38" s="2">
        <v>1</v>
      </c>
      <c r="AI38" s="2">
        <v>1</v>
      </c>
      <c r="AJ38" s="2">
        <v>0</v>
      </c>
      <c r="AK38" s="2">
        <v>10</v>
      </c>
      <c r="AL38" s="2">
        <v>30</v>
      </c>
      <c r="AM38" s="2">
        <v>30</v>
      </c>
      <c r="AN38" s="6">
        <v>1</v>
      </c>
      <c r="AO38" s="2">
        <v>100</v>
      </c>
      <c r="AP38" s="2">
        <v>100</v>
      </c>
      <c r="AQ38" s="2">
        <v>19</v>
      </c>
      <c r="AR38" s="6">
        <v>7.0000000000000007E-2</v>
      </c>
      <c r="AS38" s="6">
        <v>0.98</v>
      </c>
      <c r="AT38" s="6">
        <v>0</v>
      </c>
      <c r="AU38" s="6">
        <v>0</v>
      </c>
      <c r="AV38" s="7">
        <f t="shared" si="0"/>
        <v>10</v>
      </c>
      <c r="AW38" s="7">
        <f t="shared" si="1"/>
        <v>3.3333333333333335</v>
      </c>
      <c r="AX38" s="7">
        <f t="shared" si="2"/>
        <v>4</v>
      </c>
      <c r="AY38" s="7">
        <f t="shared" si="3"/>
        <v>6.75</v>
      </c>
      <c r="AZ38" s="7">
        <f t="shared" si="4"/>
        <v>6.0208333333333339</v>
      </c>
      <c r="BA38" s="2">
        <v>13</v>
      </c>
      <c r="BB38" s="2">
        <v>14</v>
      </c>
      <c r="BC38" s="2" t="s">
        <v>95</v>
      </c>
    </row>
    <row r="39" spans="1:55">
      <c r="A39" s="2">
        <v>38</v>
      </c>
      <c r="B39" s="2" t="s">
        <v>240</v>
      </c>
      <c r="C39" s="2" t="s">
        <v>241</v>
      </c>
      <c r="D39" s="2" t="s">
        <v>331</v>
      </c>
      <c r="E39" s="2" t="s">
        <v>332</v>
      </c>
      <c r="F39" s="2" t="s">
        <v>333</v>
      </c>
      <c r="G39" s="2" t="s">
        <v>334</v>
      </c>
      <c r="H39" s="2" t="s">
        <v>335</v>
      </c>
      <c r="I39" s="2" t="s">
        <v>247</v>
      </c>
      <c r="J39" s="2" t="s">
        <v>11</v>
      </c>
      <c r="K39" s="2" t="s">
        <v>13</v>
      </c>
      <c r="L39" s="2" t="s">
        <v>336</v>
      </c>
      <c r="M39" s="2" t="s">
        <v>337</v>
      </c>
      <c r="N39" s="2">
        <v>200</v>
      </c>
      <c r="O39" s="2">
        <v>200</v>
      </c>
      <c r="P39" s="5">
        <v>46230</v>
      </c>
      <c r="Q39" s="2">
        <v>3.5</v>
      </c>
      <c r="R39" s="2" t="s">
        <v>156</v>
      </c>
      <c r="S39" s="2" t="s">
        <v>94</v>
      </c>
      <c r="T39" s="5">
        <v>41573.673344907409</v>
      </c>
      <c r="U39" s="5">
        <v>45832.677118055559</v>
      </c>
      <c r="V39" s="2">
        <v>583</v>
      </c>
      <c r="W39" s="2">
        <v>35920</v>
      </c>
      <c r="X39" s="2">
        <v>1934</v>
      </c>
      <c r="Y39" s="2">
        <v>198</v>
      </c>
      <c r="Z39" s="2">
        <v>61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/>
      <c r="AL39" s="2">
        <v>3</v>
      </c>
      <c r="AM39" s="2">
        <v>0</v>
      </c>
      <c r="AN39" s="6">
        <v>0</v>
      </c>
      <c r="AO39" s="2">
        <v>100</v>
      </c>
      <c r="AP39" s="2">
        <v>0</v>
      </c>
      <c r="AQ39" s="2">
        <v>20</v>
      </c>
      <c r="AR39" s="6">
        <v>0.01</v>
      </c>
      <c r="AS39" s="6">
        <v>0.4</v>
      </c>
      <c r="AT39" s="6">
        <v>0.38</v>
      </c>
      <c r="AU39" s="6">
        <v>0</v>
      </c>
      <c r="AV39" s="7">
        <f t="shared" si="0"/>
        <v>2.5</v>
      </c>
      <c r="AW39" s="7">
        <f t="shared" si="1"/>
        <v>0</v>
      </c>
      <c r="AX39" s="7">
        <f t="shared" si="2"/>
        <v>0</v>
      </c>
      <c r="AY39" s="7">
        <f t="shared" si="3"/>
        <v>1.3166666666666667</v>
      </c>
      <c r="AZ39" s="7">
        <f t="shared" si="4"/>
        <v>0.95416666666666661</v>
      </c>
      <c r="BA39" s="2">
        <v>12</v>
      </c>
      <c r="BB39" s="2">
        <v>14</v>
      </c>
      <c r="BC39" s="2" t="s">
        <v>95</v>
      </c>
    </row>
    <row r="40" spans="1:55">
      <c r="A40" s="2">
        <v>39</v>
      </c>
      <c r="B40" s="2" t="s">
        <v>240</v>
      </c>
      <c r="C40" s="2" t="s">
        <v>241</v>
      </c>
      <c r="D40" s="2" t="s">
        <v>338</v>
      </c>
      <c r="E40" s="2" t="s">
        <v>339</v>
      </c>
      <c r="F40" s="2" t="s">
        <v>340</v>
      </c>
      <c r="G40" s="2" t="s">
        <v>341</v>
      </c>
      <c r="H40" s="2" t="s">
        <v>342</v>
      </c>
      <c r="I40" s="2" t="s">
        <v>247</v>
      </c>
      <c r="J40" s="2" t="s">
        <v>11</v>
      </c>
      <c r="K40" s="2" t="s">
        <v>13</v>
      </c>
      <c r="L40" s="2" t="s">
        <v>343</v>
      </c>
      <c r="M40" s="2" t="s">
        <v>344</v>
      </c>
      <c r="N40" s="2">
        <v>200</v>
      </c>
      <c r="O40" s="2">
        <v>200</v>
      </c>
      <c r="P40" s="5">
        <v>46230</v>
      </c>
      <c r="Q40" s="2">
        <v>6.4</v>
      </c>
      <c r="R40" s="2" t="s">
        <v>156</v>
      </c>
      <c r="S40" s="2" t="s">
        <v>94</v>
      </c>
      <c r="T40" s="5">
        <v>40283.741516203707</v>
      </c>
      <c r="U40" s="5">
        <v>46227.799780092595</v>
      </c>
      <c r="V40" s="2">
        <v>4321</v>
      </c>
      <c r="W40" s="2">
        <v>94306</v>
      </c>
      <c r="X40" s="2">
        <v>10302</v>
      </c>
      <c r="Y40" s="2">
        <v>392</v>
      </c>
      <c r="Z40" s="2">
        <v>439</v>
      </c>
      <c r="AA40" s="2">
        <v>1</v>
      </c>
      <c r="AB40" s="2">
        <v>0</v>
      </c>
      <c r="AC40" s="2">
        <v>0</v>
      </c>
      <c r="AD40" s="2">
        <v>17</v>
      </c>
      <c r="AE40" s="2">
        <v>1</v>
      </c>
      <c r="AF40" s="2">
        <v>0</v>
      </c>
      <c r="AG40" s="2">
        <v>1</v>
      </c>
      <c r="AH40" s="2">
        <v>1</v>
      </c>
      <c r="AI40" s="2">
        <v>1</v>
      </c>
      <c r="AJ40" s="2">
        <v>1</v>
      </c>
      <c r="AK40" s="2">
        <v>5</v>
      </c>
      <c r="AL40" s="2">
        <v>63</v>
      </c>
      <c r="AM40" s="2">
        <v>0</v>
      </c>
      <c r="AN40" s="6">
        <v>0</v>
      </c>
      <c r="AO40" s="2">
        <v>100</v>
      </c>
      <c r="AP40" s="2">
        <v>57</v>
      </c>
      <c r="AQ40" s="2">
        <v>21</v>
      </c>
      <c r="AR40" s="6">
        <v>0</v>
      </c>
      <c r="AS40" s="6">
        <v>0</v>
      </c>
      <c r="AT40" s="6">
        <v>0</v>
      </c>
      <c r="AU40" s="6">
        <v>0</v>
      </c>
      <c r="AV40" s="7">
        <f t="shared" si="0"/>
        <v>7.5</v>
      </c>
      <c r="AW40" s="7">
        <f t="shared" si="1"/>
        <v>1.6666666666666667</v>
      </c>
      <c r="AX40" s="7">
        <f t="shared" si="2"/>
        <v>2</v>
      </c>
      <c r="AY40" s="7">
        <f t="shared" si="3"/>
        <v>5</v>
      </c>
      <c r="AZ40" s="7">
        <f t="shared" si="4"/>
        <v>4.0416666666666661</v>
      </c>
      <c r="BA40" s="2">
        <v>11</v>
      </c>
      <c r="BB40" s="2">
        <v>14</v>
      </c>
      <c r="BC40" s="2" t="s">
        <v>95</v>
      </c>
    </row>
    <row r="41" spans="1:55">
      <c r="A41" s="2">
        <v>40</v>
      </c>
      <c r="B41" s="2" t="s">
        <v>240</v>
      </c>
      <c r="C41" s="2" t="s">
        <v>241</v>
      </c>
      <c r="D41" s="2" t="s">
        <v>345</v>
      </c>
      <c r="E41" s="2" t="s">
        <v>346</v>
      </c>
      <c r="F41" s="2" t="s">
        <v>346</v>
      </c>
      <c r="G41" s="2" t="s">
        <v>347</v>
      </c>
      <c r="H41" s="2" t="s">
        <v>348</v>
      </c>
      <c r="I41" s="2" t="s">
        <v>247</v>
      </c>
      <c r="J41" s="2" t="s">
        <v>11</v>
      </c>
      <c r="K41" s="2" t="s">
        <v>13</v>
      </c>
      <c r="L41" s="2" t="s">
        <v>349</v>
      </c>
      <c r="M41" s="2" t="s">
        <v>350</v>
      </c>
      <c r="N41" s="2">
        <v>200</v>
      </c>
      <c r="O41" s="2">
        <v>200</v>
      </c>
      <c r="P41" s="5">
        <v>46233.654074074075</v>
      </c>
      <c r="Q41" s="2">
        <v>8.4</v>
      </c>
      <c r="R41" s="2" t="s">
        <v>156</v>
      </c>
      <c r="S41" s="2" t="s">
        <v>94</v>
      </c>
      <c r="T41" s="5">
        <v>40053.760844907411</v>
      </c>
      <c r="U41" s="5">
        <v>46233.653749999998</v>
      </c>
      <c r="V41" s="2">
        <v>13684</v>
      </c>
      <c r="W41" s="2">
        <v>188920</v>
      </c>
      <c r="X41" s="2">
        <v>26517</v>
      </c>
      <c r="Y41" s="2">
        <v>586</v>
      </c>
      <c r="Z41" s="2">
        <v>1091</v>
      </c>
      <c r="AA41" s="2">
        <v>1</v>
      </c>
      <c r="AB41" s="2">
        <v>1</v>
      </c>
      <c r="AC41" s="2">
        <v>1</v>
      </c>
      <c r="AD41" s="2">
        <v>5</v>
      </c>
      <c r="AE41" s="2">
        <v>1</v>
      </c>
      <c r="AF41" s="2">
        <v>0</v>
      </c>
      <c r="AG41" s="2">
        <v>0</v>
      </c>
      <c r="AH41" s="2">
        <v>1</v>
      </c>
      <c r="AI41" s="2">
        <v>1</v>
      </c>
      <c r="AJ41" s="2">
        <v>1</v>
      </c>
      <c r="AK41" s="2">
        <v>5</v>
      </c>
      <c r="AL41" s="2">
        <v>17</v>
      </c>
      <c r="AM41" s="2">
        <v>17</v>
      </c>
      <c r="AN41" s="6">
        <v>1</v>
      </c>
      <c r="AO41" s="2">
        <v>100</v>
      </c>
      <c r="AP41" s="2">
        <v>71</v>
      </c>
      <c r="AQ41" s="2">
        <v>44</v>
      </c>
      <c r="AR41" s="6">
        <v>0.99</v>
      </c>
      <c r="AS41" s="6">
        <v>0.96</v>
      </c>
      <c r="AT41" s="6">
        <v>0</v>
      </c>
      <c r="AU41" s="6">
        <v>0</v>
      </c>
      <c r="AV41" s="7">
        <f t="shared" si="0"/>
        <v>10</v>
      </c>
      <c r="AW41" s="7">
        <f t="shared" si="1"/>
        <v>5</v>
      </c>
      <c r="AX41" s="7">
        <f t="shared" si="2"/>
        <v>6</v>
      </c>
      <c r="AY41" s="7">
        <f t="shared" si="3"/>
        <v>6.583333333333333</v>
      </c>
      <c r="AZ41" s="7">
        <f t="shared" si="4"/>
        <v>6.895833333333333</v>
      </c>
      <c r="BA41" s="2">
        <v>16</v>
      </c>
      <c r="BB41" s="2">
        <v>18</v>
      </c>
      <c r="BC41" s="2" t="s">
        <v>95</v>
      </c>
    </row>
    <row r="42" spans="1:55">
      <c r="A42" s="2">
        <v>41</v>
      </c>
      <c r="B42" s="2" t="s">
        <v>240</v>
      </c>
      <c r="C42" s="2" t="s">
        <v>241</v>
      </c>
      <c r="D42" s="2" t="s">
        <v>351</v>
      </c>
      <c r="E42" s="2" t="s">
        <v>352</v>
      </c>
      <c r="F42" s="2" t="s">
        <v>352</v>
      </c>
      <c r="G42" s="2" t="s">
        <v>353</v>
      </c>
      <c r="H42" s="2" t="s">
        <v>354</v>
      </c>
      <c r="I42" s="2" t="s">
        <v>247</v>
      </c>
      <c r="J42" s="2" t="s">
        <v>11</v>
      </c>
      <c r="K42" s="2" t="s">
        <v>13</v>
      </c>
      <c r="L42" s="2" t="s">
        <v>355</v>
      </c>
      <c r="M42" s="2" t="s">
        <v>356</v>
      </c>
      <c r="N42" s="2">
        <v>200</v>
      </c>
      <c r="O42" s="2">
        <v>200</v>
      </c>
      <c r="P42" s="5">
        <v>46230</v>
      </c>
      <c r="Q42" s="2">
        <v>6</v>
      </c>
      <c r="R42" s="2" t="s">
        <v>118</v>
      </c>
      <c r="S42" s="2" t="s">
        <v>218</v>
      </c>
      <c r="T42" s="5">
        <v>41319.488923611112</v>
      </c>
      <c r="U42" s="5">
        <v>46234.457291666666</v>
      </c>
      <c r="V42" s="2">
        <v>76345</v>
      </c>
      <c r="W42" s="2">
        <v>8024</v>
      </c>
      <c r="X42" s="2">
        <v>859</v>
      </c>
      <c r="Y42" s="2">
        <v>17</v>
      </c>
      <c r="Z42" s="2">
        <v>284</v>
      </c>
      <c r="AA42" s="2">
        <v>1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1</v>
      </c>
      <c r="AH42" s="2">
        <v>1</v>
      </c>
      <c r="AI42" s="2">
        <v>0</v>
      </c>
      <c r="AJ42" s="2">
        <v>1</v>
      </c>
      <c r="AK42" s="2">
        <v>0</v>
      </c>
      <c r="AL42" s="2">
        <v>2</v>
      </c>
      <c r="AM42" s="2">
        <v>0</v>
      </c>
      <c r="AN42" s="6">
        <v>0</v>
      </c>
      <c r="AO42" s="2">
        <v>100</v>
      </c>
      <c r="AP42" s="2">
        <v>7</v>
      </c>
      <c r="AQ42" s="2">
        <v>21</v>
      </c>
      <c r="AR42" s="6">
        <v>0.08</v>
      </c>
      <c r="AS42" s="6">
        <v>0.34</v>
      </c>
      <c r="AT42" s="6">
        <v>0</v>
      </c>
      <c r="AU42" s="6">
        <v>0</v>
      </c>
      <c r="AV42" s="7">
        <f t="shared" si="0"/>
        <v>6.75</v>
      </c>
      <c r="AW42" s="7">
        <f t="shared" si="1"/>
        <v>0</v>
      </c>
      <c r="AX42" s="7">
        <f t="shared" si="2"/>
        <v>0</v>
      </c>
      <c r="AY42" s="7">
        <f t="shared" si="3"/>
        <v>5.2</v>
      </c>
      <c r="AZ42" s="7">
        <f t="shared" si="4"/>
        <v>2.9874999999999998</v>
      </c>
      <c r="BA42" s="2">
        <v>12</v>
      </c>
      <c r="BB42" s="2">
        <v>14</v>
      </c>
      <c r="BC42" s="2" t="s">
        <v>95</v>
      </c>
    </row>
    <row r="43" spans="1:55">
      <c r="A43" s="2">
        <v>42</v>
      </c>
      <c r="B43" s="2" t="s">
        <v>240</v>
      </c>
      <c r="C43" s="2" t="s">
        <v>241</v>
      </c>
      <c r="D43" s="2" t="s">
        <v>357</v>
      </c>
      <c r="E43" s="2" t="s">
        <v>358</v>
      </c>
      <c r="F43" s="2" t="s">
        <v>359</v>
      </c>
      <c r="G43" s="2" t="s">
        <v>360</v>
      </c>
      <c r="H43" s="2" t="s">
        <v>361</v>
      </c>
      <c r="I43" s="2" t="s">
        <v>247</v>
      </c>
      <c r="J43" s="2" t="s">
        <v>11</v>
      </c>
      <c r="K43" s="2" t="s">
        <v>13</v>
      </c>
      <c r="L43" s="2" t="s">
        <v>362</v>
      </c>
      <c r="M43" s="2" t="s">
        <v>363</v>
      </c>
      <c r="N43" s="2">
        <v>200</v>
      </c>
      <c r="O43" s="2">
        <v>200</v>
      </c>
      <c r="P43" s="5">
        <v>46230</v>
      </c>
      <c r="Q43" s="2">
        <v>6.7</v>
      </c>
      <c r="R43" s="2" t="s">
        <v>118</v>
      </c>
      <c r="S43" s="2" t="s">
        <v>94</v>
      </c>
      <c r="T43" s="5">
        <v>41709.256736111114</v>
      </c>
      <c r="U43" s="5">
        <v>46234.975451388891</v>
      </c>
      <c r="V43" s="2">
        <v>385898</v>
      </c>
      <c r="W43" s="2">
        <v>38336</v>
      </c>
      <c r="X43" s="2">
        <v>10859</v>
      </c>
      <c r="Y43" s="2">
        <v>4000</v>
      </c>
      <c r="Z43" s="2">
        <v>17341</v>
      </c>
      <c r="AA43" s="2">
        <v>1</v>
      </c>
      <c r="AB43" s="2">
        <v>1</v>
      </c>
      <c r="AC43" s="2">
        <v>1</v>
      </c>
      <c r="AD43" s="2">
        <v>23</v>
      </c>
      <c r="AE43" s="2">
        <v>0</v>
      </c>
      <c r="AF43" s="2">
        <v>0</v>
      </c>
      <c r="AG43" s="2">
        <v>1</v>
      </c>
      <c r="AH43" s="2">
        <v>1</v>
      </c>
      <c r="AI43" s="2">
        <v>1</v>
      </c>
      <c r="AJ43" s="2">
        <v>1</v>
      </c>
      <c r="AK43" s="2">
        <v>5</v>
      </c>
      <c r="AL43" s="2">
        <v>402</v>
      </c>
      <c r="AM43" s="2">
        <v>400</v>
      </c>
      <c r="AN43" s="6">
        <v>0.99502487562189057</v>
      </c>
      <c r="AO43" s="2">
        <v>100</v>
      </c>
      <c r="AP43" s="2">
        <v>100</v>
      </c>
      <c r="AQ43" s="2">
        <v>30</v>
      </c>
      <c r="AR43" s="6">
        <v>0</v>
      </c>
      <c r="AS43" s="6">
        <v>1</v>
      </c>
      <c r="AT43" s="6">
        <v>0</v>
      </c>
      <c r="AU43" s="6">
        <v>0</v>
      </c>
      <c r="AV43" s="7">
        <f t="shared" si="0"/>
        <v>10</v>
      </c>
      <c r="AW43" s="7">
        <f t="shared" si="1"/>
        <v>5</v>
      </c>
      <c r="AX43" s="7">
        <f t="shared" si="2"/>
        <v>3.9900497512437809</v>
      </c>
      <c r="AY43" s="7">
        <f t="shared" si="3"/>
        <v>6.666666666666667</v>
      </c>
      <c r="AZ43" s="7">
        <f t="shared" si="4"/>
        <v>6.4141791044776122</v>
      </c>
      <c r="BA43" s="2">
        <v>12</v>
      </c>
      <c r="BB43" s="2">
        <v>14</v>
      </c>
      <c r="BC43" s="2" t="s">
        <v>95</v>
      </c>
    </row>
    <row r="44" spans="1:55">
      <c r="A44" s="2">
        <v>43</v>
      </c>
      <c r="B44" s="2" t="s">
        <v>240</v>
      </c>
      <c r="C44" s="2" t="s">
        <v>241</v>
      </c>
      <c r="D44" s="2" t="s">
        <v>364</v>
      </c>
      <c r="E44" s="2" t="s">
        <v>365</v>
      </c>
      <c r="F44" s="2" t="s">
        <v>366</v>
      </c>
      <c r="G44" s="2" t="s">
        <v>367</v>
      </c>
      <c r="H44" s="2" t="s">
        <v>368</v>
      </c>
      <c r="I44" s="2" t="s">
        <v>247</v>
      </c>
      <c r="J44" s="2" t="s">
        <v>11</v>
      </c>
      <c r="K44" s="2" t="s">
        <v>13</v>
      </c>
      <c r="L44" s="2" t="s">
        <v>369</v>
      </c>
      <c r="M44" s="2" t="s">
        <v>370</v>
      </c>
      <c r="N44" s="2">
        <v>200</v>
      </c>
      <c r="O44" s="2">
        <v>406</v>
      </c>
      <c r="P44" s="5"/>
      <c r="Q44" s="2"/>
      <c r="R44" s="2" t="s">
        <v>212</v>
      </c>
      <c r="S44" s="2" t="s">
        <v>305</v>
      </c>
      <c r="T44" s="5">
        <v>41990.942847222221</v>
      </c>
      <c r="U44" s="5">
        <v>46223.75576388889</v>
      </c>
      <c r="V44" s="2">
        <v>6098</v>
      </c>
      <c r="W44" s="2">
        <v>1105</v>
      </c>
      <c r="X44" s="2">
        <v>414</v>
      </c>
      <c r="Y44" s="2">
        <v>387</v>
      </c>
      <c r="Z44" s="2">
        <v>678</v>
      </c>
      <c r="AA44" s="2">
        <v>0</v>
      </c>
      <c r="AB44" s="2">
        <v>0</v>
      </c>
      <c r="AC44" s="2">
        <v>1</v>
      </c>
      <c r="AD44" s="2">
        <v>13</v>
      </c>
      <c r="AE44" s="2">
        <v>0</v>
      </c>
      <c r="AF44" s="2">
        <v>0</v>
      </c>
      <c r="AG44" s="2">
        <v>0</v>
      </c>
      <c r="AH44" s="2">
        <v>1</v>
      </c>
      <c r="AI44" s="2">
        <v>1</v>
      </c>
      <c r="AJ44" s="2">
        <v>0</v>
      </c>
      <c r="AK44" s="2">
        <v>10</v>
      </c>
      <c r="AL44" s="2">
        <v>116</v>
      </c>
      <c r="AM44" s="2">
        <v>113</v>
      </c>
      <c r="AN44" s="6">
        <v>0.97413793103448276</v>
      </c>
      <c r="AO44" s="2">
        <v>100</v>
      </c>
      <c r="AP44" s="2">
        <v>16</v>
      </c>
      <c r="AQ44" s="2">
        <v>23</v>
      </c>
      <c r="AR44" s="6">
        <v>0.38</v>
      </c>
      <c r="AS44" s="6">
        <v>0.99</v>
      </c>
      <c r="AT44" s="6">
        <v>0.03</v>
      </c>
      <c r="AU44" s="6">
        <v>0</v>
      </c>
      <c r="AV44" s="7">
        <f t="shared" si="0"/>
        <v>7.5</v>
      </c>
      <c r="AW44" s="7">
        <f t="shared" si="1"/>
        <v>3.3333333333333335</v>
      </c>
      <c r="AX44" s="7">
        <f t="shared" si="2"/>
        <v>3.9482758620689653</v>
      </c>
      <c r="AY44" s="7">
        <f t="shared" si="3"/>
        <v>5.666666666666667</v>
      </c>
      <c r="AZ44" s="7">
        <f t="shared" si="4"/>
        <v>5.112068965517242</v>
      </c>
      <c r="BA44" s="2">
        <v>0</v>
      </c>
      <c r="BB44" s="2">
        <v>0</v>
      </c>
      <c r="BC44" s="2" t="s">
        <v>95</v>
      </c>
    </row>
    <row r="45" spans="1:55">
      <c r="A45" s="2">
        <v>44</v>
      </c>
      <c r="B45" s="2" t="s">
        <v>240</v>
      </c>
      <c r="C45" s="2" t="s">
        <v>241</v>
      </c>
      <c r="D45" s="2" t="s">
        <v>371</v>
      </c>
      <c r="E45" s="2" t="s">
        <v>372</v>
      </c>
      <c r="F45" s="2" t="s">
        <v>373</v>
      </c>
      <c r="G45" s="2" t="s">
        <v>374</v>
      </c>
      <c r="H45" s="2" t="s">
        <v>375</v>
      </c>
      <c r="I45" s="2" t="s">
        <v>247</v>
      </c>
      <c r="J45" s="2" t="s">
        <v>11</v>
      </c>
      <c r="K45" s="2" t="s">
        <v>13</v>
      </c>
      <c r="L45" s="2" t="s">
        <v>376</v>
      </c>
      <c r="M45" s="2" t="s">
        <v>377</v>
      </c>
      <c r="N45" s="2">
        <v>200</v>
      </c>
      <c r="O45" s="2">
        <v>200</v>
      </c>
      <c r="P45" s="5">
        <v>45520.08761574074</v>
      </c>
      <c r="Q45" s="2">
        <v>8.4</v>
      </c>
      <c r="R45" s="2" t="s">
        <v>212</v>
      </c>
      <c r="S45" s="2" t="s">
        <v>305</v>
      </c>
      <c r="T45" s="5">
        <v>42948.905231481483</v>
      </c>
      <c r="U45" s="5">
        <v>46234.986921296295</v>
      </c>
      <c r="V45" s="2">
        <v>217471</v>
      </c>
      <c r="W45" s="2">
        <v>5266</v>
      </c>
      <c r="X45" s="2">
        <v>3825</v>
      </c>
      <c r="Y45" s="2">
        <v>116</v>
      </c>
      <c r="Z45" s="2">
        <v>10686</v>
      </c>
      <c r="AA45" s="2">
        <v>0</v>
      </c>
      <c r="AB45" s="2">
        <v>0</v>
      </c>
      <c r="AC45" s="2">
        <v>1</v>
      </c>
      <c r="AD45" s="2">
        <v>11</v>
      </c>
      <c r="AE45" s="2">
        <v>0</v>
      </c>
      <c r="AF45" s="2">
        <v>0</v>
      </c>
      <c r="AG45" s="2">
        <v>0</v>
      </c>
      <c r="AH45" s="2">
        <v>1</v>
      </c>
      <c r="AI45" s="2">
        <v>1</v>
      </c>
      <c r="AJ45" s="2">
        <v>1</v>
      </c>
      <c r="AK45" s="2">
        <v>5</v>
      </c>
      <c r="AL45" s="2">
        <v>13</v>
      </c>
      <c r="AM45" s="2">
        <v>13</v>
      </c>
      <c r="AN45" s="6">
        <v>1</v>
      </c>
      <c r="AO45" s="2">
        <v>100</v>
      </c>
      <c r="AP45" s="2">
        <v>100</v>
      </c>
      <c r="AQ45" s="2">
        <v>31</v>
      </c>
      <c r="AR45" s="6">
        <v>0.02</v>
      </c>
      <c r="AS45" s="6">
        <v>0.99</v>
      </c>
      <c r="AT45" s="6">
        <v>0.01</v>
      </c>
      <c r="AU45" s="6">
        <v>0</v>
      </c>
      <c r="AV45" s="7">
        <f t="shared" si="0"/>
        <v>7.5</v>
      </c>
      <c r="AW45" s="7">
        <f t="shared" si="1"/>
        <v>1.6666666666666667</v>
      </c>
      <c r="AX45" s="7">
        <f t="shared" si="2"/>
        <v>4</v>
      </c>
      <c r="AY45" s="7">
        <f t="shared" si="3"/>
        <v>5.0333333333333341</v>
      </c>
      <c r="AZ45" s="7">
        <f t="shared" si="4"/>
        <v>4.55</v>
      </c>
      <c r="BA45" s="2">
        <v>15</v>
      </c>
      <c r="BB45" s="2">
        <v>18</v>
      </c>
      <c r="BC45" s="2" t="s">
        <v>95</v>
      </c>
    </row>
    <row r="46" spans="1:55">
      <c r="A46" s="2">
        <v>45</v>
      </c>
      <c r="B46" s="2" t="s">
        <v>240</v>
      </c>
      <c r="C46" s="2" t="s">
        <v>241</v>
      </c>
      <c r="D46" s="2" t="s">
        <v>378</v>
      </c>
      <c r="E46" s="2" t="s">
        <v>379</v>
      </c>
      <c r="F46" s="2" t="s">
        <v>380</v>
      </c>
      <c r="G46" s="2" t="s">
        <v>381</v>
      </c>
      <c r="H46" s="2" t="s">
        <v>382</v>
      </c>
      <c r="I46" s="2" t="s">
        <v>247</v>
      </c>
      <c r="J46" s="2" t="s">
        <v>11</v>
      </c>
      <c r="K46" s="2" t="s">
        <v>13</v>
      </c>
      <c r="L46" s="2" t="s">
        <v>383</v>
      </c>
      <c r="M46" s="2" t="s">
        <v>384</v>
      </c>
      <c r="N46" s="2">
        <v>200</v>
      </c>
      <c r="O46" s="2">
        <v>200</v>
      </c>
      <c r="P46" s="5">
        <v>46230</v>
      </c>
      <c r="Q46" s="2">
        <v>4.5999999999999996</v>
      </c>
      <c r="R46" s="2" t="s">
        <v>234</v>
      </c>
      <c r="S46" s="2" t="s">
        <v>385</v>
      </c>
      <c r="T46" s="5">
        <v>42440.085104166668</v>
      </c>
      <c r="U46" s="5">
        <v>46232.625034722223</v>
      </c>
      <c r="V46" s="2">
        <v>5693</v>
      </c>
      <c r="W46" s="2">
        <v>66772</v>
      </c>
      <c r="X46" s="2">
        <v>2683</v>
      </c>
      <c r="Y46" s="2">
        <v>168</v>
      </c>
      <c r="Z46" s="2">
        <v>237</v>
      </c>
      <c r="AA46" s="2">
        <v>0</v>
      </c>
      <c r="AB46" s="2">
        <v>0</v>
      </c>
      <c r="AC46" s="2">
        <v>0</v>
      </c>
      <c r="AD46" s="2">
        <v>2</v>
      </c>
      <c r="AE46" s="2">
        <v>0</v>
      </c>
      <c r="AF46" s="2">
        <v>0</v>
      </c>
      <c r="AG46" s="2">
        <v>1</v>
      </c>
      <c r="AH46" s="2">
        <v>1</v>
      </c>
      <c r="AI46" s="2">
        <v>1</v>
      </c>
      <c r="AJ46" s="2">
        <v>1</v>
      </c>
      <c r="AK46" s="2">
        <v>5</v>
      </c>
      <c r="AL46" s="2">
        <v>16</v>
      </c>
      <c r="AM46" s="2">
        <v>1</v>
      </c>
      <c r="AN46" s="6">
        <v>6.25E-2</v>
      </c>
      <c r="AO46" s="2">
        <v>100</v>
      </c>
      <c r="AP46" s="2">
        <v>73</v>
      </c>
      <c r="AQ46" s="2">
        <v>32</v>
      </c>
      <c r="AR46" s="6">
        <v>0.06</v>
      </c>
      <c r="AS46" s="6">
        <v>0.01</v>
      </c>
      <c r="AT46" s="6">
        <v>0</v>
      </c>
      <c r="AU46" s="6">
        <v>0</v>
      </c>
      <c r="AV46" s="7">
        <f t="shared" si="0"/>
        <v>5</v>
      </c>
      <c r="AW46" s="7">
        <f t="shared" si="1"/>
        <v>1.6666666666666667</v>
      </c>
      <c r="AX46" s="7">
        <f t="shared" si="2"/>
        <v>0.125</v>
      </c>
      <c r="AY46" s="7">
        <f t="shared" si="3"/>
        <v>5.1166666666666663</v>
      </c>
      <c r="AZ46" s="7">
        <f t="shared" si="4"/>
        <v>2.9770833333333333</v>
      </c>
      <c r="BA46" s="2">
        <v>12</v>
      </c>
      <c r="BB46" s="2">
        <v>14</v>
      </c>
      <c r="BC46" s="2" t="s">
        <v>95</v>
      </c>
    </row>
    <row r="47" spans="1:55">
      <c r="A47" s="2">
        <v>46</v>
      </c>
      <c r="B47" s="2" t="s">
        <v>240</v>
      </c>
      <c r="C47" s="2" t="s">
        <v>241</v>
      </c>
      <c r="D47" s="2" t="s">
        <v>386</v>
      </c>
      <c r="E47" s="2" t="s">
        <v>387</v>
      </c>
      <c r="F47" s="2" t="s">
        <v>388</v>
      </c>
      <c r="G47" s="2" t="s">
        <v>389</v>
      </c>
      <c r="H47" s="2" t="s">
        <v>390</v>
      </c>
      <c r="I47" s="2" t="s">
        <v>247</v>
      </c>
      <c r="J47" s="2" t="s">
        <v>11</v>
      </c>
      <c r="K47" s="2" t="s">
        <v>13</v>
      </c>
      <c r="L47" s="2" t="s">
        <v>391</v>
      </c>
      <c r="M47" s="2" t="s">
        <v>392</v>
      </c>
      <c r="N47" s="2">
        <v>200</v>
      </c>
      <c r="O47" s="2">
        <v>200</v>
      </c>
      <c r="P47" s="5">
        <v>46230</v>
      </c>
      <c r="Q47" s="2">
        <v>5.5</v>
      </c>
      <c r="R47" s="2" t="s">
        <v>234</v>
      </c>
      <c r="S47" s="2" t="s">
        <v>218</v>
      </c>
      <c r="T47" s="5">
        <v>43211.453043981484</v>
      </c>
      <c r="U47" s="5">
        <v>46232.89398148148</v>
      </c>
      <c r="V47" s="2">
        <v>35148</v>
      </c>
      <c r="W47" s="2">
        <v>59958</v>
      </c>
      <c r="X47" s="2">
        <v>1610</v>
      </c>
      <c r="Y47" s="2">
        <v>414</v>
      </c>
      <c r="Z47" s="2">
        <v>1006</v>
      </c>
      <c r="AA47" s="2">
        <v>1</v>
      </c>
      <c r="AB47" s="2">
        <v>0</v>
      </c>
      <c r="AC47" s="2">
        <v>1</v>
      </c>
      <c r="AD47" s="2">
        <v>2</v>
      </c>
      <c r="AE47" s="2">
        <v>0</v>
      </c>
      <c r="AF47" s="2">
        <v>0</v>
      </c>
      <c r="AG47" s="2">
        <v>1</v>
      </c>
      <c r="AH47" s="2">
        <v>1</v>
      </c>
      <c r="AI47" s="2">
        <v>0</v>
      </c>
      <c r="AJ47" s="2">
        <v>0</v>
      </c>
      <c r="AK47" s="2"/>
      <c r="AL47" s="2">
        <v>20</v>
      </c>
      <c r="AM47" s="2">
        <v>1</v>
      </c>
      <c r="AN47" s="6">
        <v>0.05</v>
      </c>
      <c r="AO47" s="2">
        <v>100</v>
      </c>
      <c r="AP47" s="2">
        <v>100</v>
      </c>
      <c r="AQ47" s="2">
        <v>21</v>
      </c>
      <c r="AR47" s="6">
        <v>0.26</v>
      </c>
      <c r="AS47" s="6">
        <v>0.39</v>
      </c>
      <c r="AT47" s="6">
        <v>0.43</v>
      </c>
      <c r="AU47" s="6">
        <v>0</v>
      </c>
      <c r="AV47" s="7">
        <f t="shared" si="0"/>
        <v>10</v>
      </c>
      <c r="AW47" s="7">
        <f t="shared" si="1"/>
        <v>0</v>
      </c>
      <c r="AX47" s="7">
        <f t="shared" si="2"/>
        <v>2.1</v>
      </c>
      <c r="AY47" s="7">
        <f t="shared" si="3"/>
        <v>6.8</v>
      </c>
      <c r="AZ47" s="7">
        <f t="shared" si="4"/>
        <v>4.7249999999999996</v>
      </c>
      <c r="BA47" s="2">
        <v>12</v>
      </c>
      <c r="BB47" s="2">
        <v>14</v>
      </c>
      <c r="BC47" s="2" t="s">
        <v>95</v>
      </c>
    </row>
    <row r="48" spans="1:55">
      <c r="A48" s="2">
        <v>47</v>
      </c>
      <c r="B48" s="2" t="s">
        <v>240</v>
      </c>
      <c r="C48" s="2" t="s">
        <v>241</v>
      </c>
      <c r="D48" s="2" t="s">
        <v>393</v>
      </c>
      <c r="E48" s="2" t="s">
        <v>394</v>
      </c>
      <c r="F48" s="2" t="s">
        <v>395</v>
      </c>
      <c r="G48" s="2" t="s">
        <v>396</v>
      </c>
      <c r="H48" s="2" t="s">
        <v>397</v>
      </c>
      <c r="I48" s="2" t="s">
        <v>247</v>
      </c>
      <c r="J48" s="2" t="s">
        <v>11</v>
      </c>
      <c r="K48" s="2" t="s">
        <v>13</v>
      </c>
      <c r="L48" s="2" t="s">
        <v>398</v>
      </c>
      <c r="M48" s="2" t="s">
        <v>399</v>
      </c>
      <c r="N48" s="2">
        <v>200</v>
      </c>
      <c r="O48" s="2">
        <v>200</v>
      </c>
      <c r="P48" s="5">
        <v>46230</v>
      </c>
      <c r="Q48" s="2">
        <v>4.5</v>
      </c>
      <c r="R48" s="2" t="s">
        <v>93</v>
      </c>
      <c r="S48" s="2" t="s">
        <v>94</v>
      </c>
      <c r="T48" s="5">
        <v>40540.624432870369</v>
      </c>
      <c r="U48" s="5">
        <v>46210.669664351852</v>
      </c>
      <c r="V48" s="2">
        <v>4239</v>
      </c>
      <c r="W48" s="2">
        <v>15309</v>
      </c>
      <c r="X48" s="2">
        <v>984</v>
      </c>
      <c r="Y48" s="2">
        <v>3</v>
      </c>
      <c r="Z48" s="2">
        <v>134</v>
      </c>
      <c r="AA48" s="2">
        <v>1</v>
      </c>
      <c r="AB48" s="2">
        <v>0</v>
      </c>
      <c r="AC48" s="2">
        <v>0</v>
      </c>
      <c r="AD48" s="2">
        <v>4</v>
      </c>
      <c r="AE48" s="2">
        <v>0</v>
      </c>
      <c r="AF48" s="2">
        <v>0</v>
      </c>
      <c r="AG48" s="2">
        <v>1</v>
      </c>
      <c r="AH48" s="2">
        <v>1</v>
      </c>
      <c r="AI48" s="2">
        <v>1</v>
      </c>
      <c r="AJ48" s="2">
        <v>1</v>
      </c>
      <c r="AK48" s="2">
        <v>5</v>
      </c>
      <c r="AL48" s="2">
        <v>10</v>
      </c>
      <c r="AM48" s="2">
        <v>0</v>
      </c>
      <c r="AN48" s="6">
        <v>0</v>
      </c>
      <c r="AO48" s="2">
        <v>100</v>
      </c>
      <c r="AP48" s="2">
        <v>8</v>
      </c>
      <c r="AQ48" s="2">
        <v>20</v>
      </c>
      <c r="AR48" s="6">
        <v>0.94</v>
      </c>
      <c r="AS48" s="6">
        <v>0.89</v>
      </c>
      <c r="AT48" s="6">
        <v>0.02</v>
      </c>
      <c r="AU48" s="6">
        <v>0</v>
      </c>
      <c r="AV48" s="7">
        <f t="shared" si="0"/>
        <v>7</v>
      </c>
      <c r="AW48" s="7">
        <f t="shared" si="1"/>
        <v>1.6666666666666667</v>
      </c>
      <c r="AX48" s="7">
        <f t="shared" si="2"/>
        <v>0</v>
      </c>
      <c r="AY48" s="7">
        <f t="shared" si="3"/>
        <v>7.75</v>
      </c>
      <c r="AZ48" s="7">
        <f t="shared" si="4"/>
        <v>4.1041666666666661</v>
      </c>
      <c r="BA48" s="2">
        <v>12</v>
      </c>
      <c r="BB48" s="2">
        <v>14</v>
      </c>
      <c r="BC48" s="2" t="s">
        <v>95</v>
      </c>
    </row>
    <row r="49" spans="1:55">
      <c r="A49" s="2">
        <v>48</v>
      </c>
      <c r="B49" s="2" t="s">
        <v>240</v>
      </c>
      <c r="C49" s="2" t="s">
        <v>241</v>
      </c>
      <c r="D49" s="2" t="s">
        <v>400</v>
      </c>
      <c r="E49" s="2" t="s">
        <v>401</v>
      </c>
      <c r="F49" s="2" t="s">
        <v>402</v>
      </c>
      <c r="G49" s="2" t="s">
        <v>403</v>
      </c>
      <c r="H49" s="2" t="s">
        <v>404</v>
      </c>
      <c r="I49" s="2" t="s">
        <v>247</v>
      </c>
      <c r="J49" s="2" t="s">
        <v>11</v>
      </c>
      <c r="K49" s="2" t="s">
        <v>13</v>
      </c>
      <c r="L49" s="2" t="s">
        <v>405</v>
      </c>
      <c r="M49" s="2" t="s">
        <v>406</v>
      </c>
      <c r="N49" s="2">
        <v>200</v>
      </c>
      <c r="O49" s="2">
        <v>406</v>
      </c>
      <c r="P49" s="5"/>
      <c r="Q49" s="2"/>
      <c r="R49" s="2" t="s">
        <v>168</v>
      </c>
      <c r="S49" s="2"/>
      <c r="T49" s="5"/>
      <c r="U49" s="5"/>
      <c r="V49" s="2">
        <v>1248</v>
      </c>
      <c r="W49" s="2"/>
      <c r="X49" s="2"/>
      <c r="Y49" s="2"/>
      <c r="Z49" s="2">
        <v>111</v>
      </c>
      <c r="AA49" s="2">
        <v>0</v>
      </c>
      <c r="AB49" s="2">
        <v>0</v>
      </c>
      <c r="AC49" s="2">
        <v>0</v>
      </c>
      <c r="AD49" s="2">
        <v>5</v>
      </c>
      <c r="AE49" s="2">
        <v>1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/>
      <c r="AL49" s="2">
        <v>17</v>
      </c>
      <c r="AM49" s="2">
        <v>0</v>
      </c>
      <c r="AN49" s="6">
        <v>0</v>
      </c>
      <c r="AO49" s="2">
        <v>100</v>
      </c>
      <c r="AP49" s="2">
        <v>0</v>
      </c>
      <c r="AQ49" s="2">
        <v>42</v>
      </c>
      <c r="AR49" s="6">
        <v>1</v>
      </c>
      <c r="AS49" s="6">
        <v>0.53</v>
      </c>
      <c r="AT49" s="6">
        <v>0</v>
      </c>
      <c r="AU49" s="6">
        <v>0</v>
      </c>
      <c r="AV49" s="7">
        <f t="shared" si="0"/>
        <v>0</v>
      </c>
      <c r="AW49" s="7">
        <f t="shared" si="1"/>
        <v>0</v>
      </c>
      <c r="AX49" s="7">
        <f t="shared" si="2"/>
        <v>2</v>
      </c>
      <c r="AY49" s="7">
        <f t="shared" si="3"/>
        <v>4.2166666666666668</v>
      </c>
      <c r="AZ49" s="7">
        <f t="shared" si="4"/>
        <v>1.5541666666666667</v>
      </c>
      <c r="BA49" s="2">
        <v>0</v>
      </c>
      <c r="BB49" s="2">
        <v>0</v>
      </c>
      <c r="BC49" s="2" t="s">
        <v>95</v>
      </c>
    </row>
  </sheetData>
  <conditionalFormatting sqref="AV2:AZ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showGridLines="0" topLeftCell="A7" workbookViewId="0"/>
  </sheetViews>
  <sheetFormatPr baseColWidth="10" defaultColWidth="9" defaultRowHeight="14.25"/>
  <cols>
    <col min="1" max="2" width="32" customWidth="1"/>
    <col min="3" max="4" width="26" customWidth="1"/>
    <col min="5" max="5" width="88" customWidth="1"/>
    <col min="6" max="8" width="30" customWidth="1"/>
  </cols>
  <sheetData>
    <row r="1" spans="1:8" ht="33.950000000000003" customHeight="1">
      <c r="A1" s="1" t="s">
        <v>32</v>
      </c>
      <c r="B1" s="1" t="s">
        <v>30</v>
      </c>
      <c r="C1" s="1" t="s">
        <v>407</v>
      </c>
      <c r="D1" s="1" t="s">
        <v>408</v>
      </c>
      <c r="E1" s="1" t="s">
        <v>409</v>
      </c>
      <c r="F1" s="1" t="s">
        <v>44</v>
      </c>
      <c r="G1" s="1" t="s">
        <v>41</v>
      </c>
      <c r="H1" s="1" t="s">
        <v>410</v>
      </c>
    </row>
    <row r="2" spans="1:8">
      <c r="A2" s="2" t="s">
        <v>85</v>
      </c>
      <c r="B2" s="2" t="s">
        <v>84</v>
      </c>
      <c r="C2" s="2" t="s">
        <v>411</v>
      </c>
      <c r="D2" s="2"/>
      <c r="E2" s="2" t="s">
        <v>412</v>
      </c>
      <c r="F2" s="5"/>
      <c r="G2" s="2" t="s">
        <v>92</v>
      </c>
      <c r="H2" s="2">
        <v>406</v>
      </c>
    </row>
    <row r="3" spans="1:8">
      <c r="A3" s="2" t="s">
        <v>96</v>
      </c>
      <c r="B3" s="2" t="s">
        <v>84</v>
      </c>
      <c r="C3" s="2" t="s">
        <v>411</v>
      </c>
      <c r="D3" s="2"/>
      <c r="E3" s="2" t="s">
        <v>412</v>
      </c>
      <c r="F3" s="5"/>
      <c r="G3" s="2" t="s">
        <v>100</v>
      </c>
      <c r="H3" s="2">
        <v>406</v>
      </c>
    </row>
    <row r="4" spans="1:8">
      <c r="A4" s="2" t="s">
        <v>101</v>
      </c>
      <c r="B4" s="2" t="s">
        <v>84</v>
      </c>
      <c r="C4" s="2" t="s">
        <v>411</v>
      </c>
      <c r="D4" s="2"/>
      <c r="E4" s="2" t="s">
        <v>412</v>
      </c>
      <c r="F4" s="5"/>
      <c r="G4" s="2" t="s">
        <v>105</v>
      </c>
      <c r="H4" s="2">
        <v>406</v>
      </c>
    </row>
    <row r="5" spans="1:8">
      <c r="A5" s="2" t="s">
        <v>106</v>
      </c>
      <c r="B5" s="2" t="s">
        <v>84</v>
      </c>
      <c r="C5" s="2" t="s">
        <v>411</v>
      </c>
      <c r="D5" s="2"/>
      <c r="E5" s="2" t="s">
        <v>412</v>
      </c>
      <c r="F5" s="5"/>
      <c r="G5" s="2" t="s">
        <v>110</v>
      </c>
      <c r="H5" s="2">
        <v>406</v>
      </c>
    </row>
    <row r="6" spans="1:8">
      <c r="A6" s="2" t="s">
        <v>111</v>
      </c>
      <c r="B6" s="2" t="s">
        <v>84</v>
      </c>
      <c r="C6" s="2" t="s">
        <v>411</v>
      </c>
      <c r="D6" s="2"/>
      <c r="E6" s="2" t="s">
        <v>412</v>
      </c>
      <c r="F6" s="5"/>
      <c r="G6" s="2" t="s">
        <v>117</v>
      </c>
      <c r="H6" s="2">
        <v>406</v>
      </c>
    </row>
    <row r="7" spans="1:8">
      <c r="A7" s="2" t="s">
        <v>119</v>
      </c>
      <c r="B7" s="2" t="s">
        <v>84</v>
      </c>
      <c r="C7" s="2" t="s">
        <v>411</v>
      </c>
      <c r="D7" s="2"/>
      <c r="E7" s="2" t="s">
        <v>412</v>
      </c>
      <c r="F7" s="5"/>
      <c r="G7" s="2" t="s">
        <v>123</v>
      </c>
      <c r="H7" s="2">
        <v>406</v>
      </c>
    </row>
    <row r="8" spans="1:8">
      <c r="A8" s="2" t="s">
        <v>124</v>
      </c>
      <c r="B8" s="2" t="s">
        <v>84</v>
      </c>
      <c r="C8" s="2" t="s">
        <v>411</v>
      </c>
      <c r="D8" s="2"/>
      <c r="E8" s="2" t="s">
        <v>412</v>
      </c>
      <c r="F8" s="5"/>
      <c r="G8" s="2" t="s">
        <v>131</v>
      </c>
      <c r="H8" s="2">
        <v>406</v>
      </c>
    </row>
    <row r="9" spans="1:8">
      <c r="A9" s="2" t="s">
        <v>132</v>
      </c>
      <c r="B9" s="2" t="s">
        <v>84</v>
      </c>
      <c r="C9" s="2" t="s">
        <v>411</v>
      </c>
      <c r="D9" s="2"/>
      <c r="E9" s="2" t="s">
        <v>412</v>
      </c>
      <c r="F9" s="5"/>
      <c r="G9" s="2" t="s">
        <v>136</v>
      </c>
      <c r="H9" s="2">
        <v>406</v>
      </c>
    </row>
    <row r="10" spans="1:8">
      <c r="A10" s="2" t="s">
        <v>138</v>
      </c>
      <c r="B10" s="2" t="s">
        <v>84</v>
      </c>
      <c r="C10" s="2" t="s">
        <v>411</v>
      </c>
      <c r="D10" s="2"/>
      <c r="E10" s="2" t="s">
        <v>412</v>
      </c>
      <c r="F10" s="5"/>
      <c r="G10" s="2" t="s">
        <v>142</v>
      </c>
      <c r="H10" s="2">
        <v>406</v>
      </c>
    </row>
    <row r="11" spans="1:8">
      <c r="A11" s="2" t="s">
        <v>143</v>
      </c>
      <c r="B11" s="2" t="s">
        <v>84</v>
      </c>
      <c r="C11" s="2" t="s">
        <v>411</v>
      </c>
      <c r="D11" s="2"/>
      <c r="E11" s="2" t="s">
        <v>413</v>
      </c>
      <c r="F11" s="5"/>
      <c r="G11" s="2" t="s">
        <v>147</v>
      </c>
      <c r="H11" s="2">
        <v>404</v>
      </c>
    </row>
    <row r="12" spans="1:8">
      <c r="A12" s="2" t="s">
        <v>148</v>
      </c>
      <c r="B12" s="2" t="s">
        <v>84</v>
      </c>
      <c r="C12" s="2" t="s">
        <v>411</v>
      </c>
      <c r="D12" s="2"/>
      <c r="E12" s="2" t="s">
        <v>412</v>
      </c>
      <c r="F12" s="5"/>
      <c r="G12" s="2" t="s">
        <v>155</v>
      </c>
      <c r="H12" s="2">
        <v>406</v>
      </c>
    </row>
    <row r="13" spans="1:8">
      <c r="A13" s="2" t="s">
        <v>158</v>
      </c>
      <c r="B13" s="2" t="s">
        <v>84</v>
      </c>
      <c r="C13" s="2" t="s">
        <v>411</v>
      </c>
      <c r="D13" s="2"/>
      <c r="E13" s="2" t="s">
        <v>412</v>
      </c>
      <c r="F13" s="5"/>
      <c r="G13" s="2" t="s">
        <v>162</v>
      </c>
      <c r="H13" s="2">
        <v>406</v>
      </c>
    </row>
    <row r="14" spans="1:8">
      <c r="A14" s="2" t="s">
        <v>163</v>
      </c>
      <c r="B14" s="2" t="s">
        <v>84</v>
      </c>
      <c r="C14" s="2" t="s">
        <v>411</v>
      </c>
      <c r="D14" s="2"/>
      <c r="E14" s="2" t="s">
        <v>412</v>
      </c>
      <c r="F14" s="5"/>
      <c r="G14" s="2" t="s">
        <v>167</v>
      </c>
      <c r="H14" s="2">
        <v>406</v>
      </c>
    </row>
    <row r="15" spans="1:8">
      <c r="A15" s="2" t="s">
        <v>169</v>
      </c>
      <c r="B15" s="2" t="s">
        <v>84</v>
      </c>
      <c r="C15" s="2" t="s">
        <v>411</v>
      </c>
      <c r="D15" s="2"/>
      <c r="E15" s="2" t="s">
        <v>412</v>
      </c>
      <c r="F15" s="5"/>
      <c r="G15" s="2" t="s">
        <v>173</v>
      </c>
      <c r="H15" s="2">
        <v>406</v>
      </c>
    </row>
    <row r="16" spans="1:8">
      <c r="A16" s="2" t="s">
        <v>175</v>
      </c>
      <c r="B16" s="2" t="s">
        <v>84</v>
      </c>
      <c r="C16" s="2" t="s">
        <v>411</v>
      </c>
      <c r="D16" s="2"/>
      <c r="E16" s="2" t="s">
        <v>412</v>
      </c>
      <c r="F16" s="5"/>
      <c r="G16" s="2" t="s">
        <v>181</v>
      </c>
      <c r="H16" s="2">
        <v>406</v>
      </c>
    </row>
    <row r="17" spans="1:8">
      <c r="A17" s="2" t="s">
        <v>182</v>
      </c>
      <c r="B17" s="2" t="s">
        <v>84</v>
      </c>
      <c r="C17" s="2" t="s">
        <v>411</v>
      </c>
      <c r="D17" s="2"/>
      <c r="E17" s="2" t="s">
        <v>412</v>
      </c>
      <c r="F17" s="5"/>
      <c r="G17" s="2" t="s">
        <v>186</v>
      </c>
      <c r="H17" s="2">
        <v>406</v>
      </c>
    </row>
    <row r="18" spans="1:8">
      <c r="A18" s="2" t="s">
        <v>187</v>
      </c>
      <c r="B18" s="2" t="s">
        <v>84</v>
      </c>
      <c r="C18" s="2" t="s">
        <v>411</v>
      </c>
      <c r="D18" s="2"/>
      <c r="E18" s="2" t="s">
        <v>412</v>
      </c>
      <c r="F18" s="5"/>
      <c r="G18" s="2" t="s">
        <v>191</v>
      </c>
      <c r="H18" s="2">
        <v>406</v>
      </c>
    </row>
    <row r="19" spans="1:8">
      <c r="A19" s="2" t="s">
        <v>193</v>
      </c>
      <c r="B19" s="2" t="s">
        <v>84</v>
      </c>
      <c r="C19" s="2" t="s">
        <v>411</v>
      </c>
      <c r="D19" s="2"/>
      <c r="E19" s="2" t="s">
        <v>412</v>
      </c>
      <c r="F19" s="5"/>
      <c r="G19" s="2" t="s">
        <v>199</v>
      </c>
      <c r="H19" s="2">
        <v>406</v>
      </c>
    </row>
    <row r="20" spans="1:8">
      <c r="A20" s="2" t="s">
        <v>200</v>
      </c>
      <c r="B20" s="2" t="s">
        <v>84</v>
      </c>
      <c r="C20" s="2" t="s">
        <v>411</v>
      </c>
      <c r="D20" s="2"/>
      <c r="E20" s="2" t="s">
        <v>412</v>
      </c>
      <c r="F20" s="5"/>
      <c r="G20" s="2" t="s">
        <v>204</v>
      </c>
      <c r="H20" s="2">
        <v>406</v>
      </c>
    </row>
    <row r="21" spans="1:8">
      <c r="A21" s="2" t="s">
        <v>205</v>
      </c>
      <c r="B21" s="2" t="s">
        <v>84</v>
      </c>
      <c r="C21" s="2" t="s">
        <v>411</v>
      </c>
      <c r="D21" s="2"/>
      <c r="E21" s="2" t="s">
        <v>412</v>
      </c>
      <c r="F21" s="5"/>
      <c r="G21" s="2" t="s">
        <v>211</v>
      </c>
      <c r="H21" s="2">
        <v>406</v>
      </c>
    </row>
    <row r="22" spans="1:8">
      <c r="A22" s="2" t="s">
        <v>213</v>
      </c>
      <c r="B22" s="2" t="s">
        <v>84</v>
      </c>
      <c r="C22" s="2" t="s">
        <v>411</v>
      </c>
      <c r="D22" s="2"/>
      <c r="E22" s="2" t="s">
        <v>412</v>
      </c>
      <c r="F22" s="5"/>
      <c r="G22" s="2" t="s">
        <v>217</v>
      </c>
      <c r="H22" s="2">
        <v>406</v>
      </c>
    </row>
    <row r="23" spans="1:8">
      <c r="A23" s="2" t="s">
        <v>219</v>
      </c>
      <c r="B23" s="2" t="s">
        <v>84</v>
      </c>
      <c r="C23" s="2" t="s">
        <v>411</v>
      </c>
      <c r="D23" s="2"/>
      <c r="E23" s="2" t="s">
        <v>412</v>
      </c>
      <c r="F23" s="5"/>
      <c r="G23" s="2" t="s">
        <v>225</v>
      </c>
      <c r="H23" s="2">
        <v>406</v>
      </c>
    </row>
    <row r="24" spans="1:8">
      <c r="A24" s="2" t="s">
        <v>227</v>
      </c>
      <c r="B24" s="2" t="s">
        <v>84</v>
      </c>
      <c r="C24" s="2" t="s">
        <v>411</v>
      </c>
      <c r="D24" s="2"/>
      <c r="E24" s="2" t="s">
        <v>412</v>
      </c>
      <c r="F24" s="5"/>
      <c r="G24" s="2" t="s">
        <v>233</v>
      </c>
      <c r="H24" s="2">
        <v>406</v>
      </c>
    </row>
    <row r="25" spans="1:8">
      <c r="A25" s="2" t="s">
        <v>235</v>
      </c>
      <c r="B25" s="2" t="s">
        <v>84</v>
      </c>
      <c r="C25" s="2" t="s">
        <v>411</v>
      </c>
      <c r="D25" s="2"/>
      <c r="E25" s="2" t="s">
        <v>412</v>
      </c>
      <c r="F25" s="5"/>
      <c r="G25" s="2" t="s">
        <v>239</v>
      </c>
      <c r="H25" s="2">
        <v>406</v>
      </c>
    </row>
    <row r="26" spans="1:8">
      <c r="A26" s="2" t="s">
        <v>242</v>
      </c>
      <c r="B26" s="2" t="s">
        <v>240</v>
      </c>
      <c r="C26" s="2" t="s">
        <v>411</v>
      </c>
      <c r="D26" s="2"/>
      <c r="E26" s="2" t="s">
        <v>413</v>
      </c>
      <c r="F26" s="5"/>
      <c r="G26" s="2" t="s">
        <v>249</v>
      </c>
      <c r="H26" s="2">
        <v>404</v>
      </c>
    </row>
    <row r="27" spans="1:8">
      <c r="A27" s="2" t="s">
        <v>250</v>
      </c>
      <c r="B27" s="2" t="s">
        <v>240</v>
      </c>
      <c r="C27" s="2" t="s">
        <v>414</v>
      </c>
      <c r="D27" s="2">
        <v>6</v>
      </c>
      <c r="E27" s="2" t="s">
        <v>415</v>
      </c>
      <c r="F27" s="5">
        <v>46230</v>
      </c>
      <c r="G27" s="2" t="s">
        <v>255</v>
      </c>
      <c r="H27" s="2">
        <v>200</v>
      </c>
    </row>
    <row r="28" spans="1:8">
      <c r="A28" s="2" t="s">
        <v>250</v>
      </c>
      <c r="B28" s="2" t="s">
        <v>240</v>
      </c>
      <c r="C28" s="2" t="s">
        <v>416</v>
      </c>
      <c r="D28" s="2">
        <v>0</v>
      </c>
      <c r="E28" s="2" t="s">
        <v>417</v>
      </c>
      <c r="F28" s="5">
        <v>46230</v>
      </c>
      <c r="G28" s="2" t="s">
        <v>255</v>
      </c>
      <c r="H28" s="2">
        <v>200</v>
      </c>
    </row>
    <row r="29" spans="1:8">
      <c r="A29" s="2" t="s">
        <v>250</v>
      </c>
      <c r="B29" s="2" t="s">
        <v>240</v>
      </c>
      <c r="C29" s="2" t="s">
        <v>418</v>
      </c>
      <c r="D29" s="2">
        <v>6</v>
      </c>
      <c r="E29" s="2" t="s">
        <v>419</v>
      </c>
      <c r="F29" s="5">
        <v>46230</v>
      </c>
      <c r="G29" s="2" t="s">
        <v>255</v>
      </c>
      <c r="H29" s="2">
        <v>200</v>
      </c>
    </row>
    <row r="30" spans="1:8">
      <c r="A30" s="2" t="s">
        <v>250</v>
      </c>
      <c r="B30" s="2" t="s">
        <v>240</v>
      </c>
      <c r="C30" s="2" t="s">
        <v>420</v>
      </c>
      <c r="D30" s="2">
        <v>10</v>
      </c>
      <c r="E30" s="2" t="s">
        <v>421</v>
      </c>
      <c r="F30" s="5">
        <v>46230</v>
      </c>
      <c r="G30" s="2" t="s">
        <v>255</v>
      </c>
      <c r="H30" s="2">
        <v>200</v>
      </c>
    </row>
    <row r="31" spans="1:8">
      <c r="A31" s="2" t="s">
        <v>250</v>
      </c>
      <c r="B31" s="2" t="s">
        <v>240</v>
      </c>
      <c r="C31" s="2" t="s">
        <v>422</v>
      </c>
      <c r="D31" s="2">
        <v>-1</v>
      </c>
      <c r="E31" s="2" t="s">
        <v>423</v>
      </c>
      <c r="F31" s="5">
        <v>46230</v>
      </c>
      <c r="G31" s="2" t="s">
        <v>255</v>
      </c>
      <c r="H31" s="2">
        <v>200</v>
      </c>
    </row>
    <row r="32" spans="1:8">
      <c r="A32" s="2" t="s">
        <v>250</v>
      </c>
      <c r="B32" s="2" t="s">
        <v>240</v>
      </c>
      <c r="C32" s="2" t="s">
        <v>424</v>
      </c>
      <c r="D32" s="2">
        <v>10</v>
      </c>
      <c r="E32" s="2" t="s">
        <v>425</v>
      </c>
      <c r="F32" s="5">
        <v>46230</v>
      </c>
      <c r="G32" s="2" t="s">
        <v>255</v>
      </c>
      <c r="H32" s="2">
        <v>200</v>
      </c>
    </row>
    <row r="33" spans="1:8">
      <c r="A33" s="2" t="s">
        <v>250</v>
      </c>
      <c r="B33" s="2" t="s">
        <v>240</v>
      </c>
      <c r="C33" s="2" t="s">
        <v>426</v>
      </c>
      <c r="D33" s="2">
        <v>0</v>
      </c>
      <c r="E33" s="2" t="s">
        <v>427</v>
      </c>
      <c r="F33" s="5">
        <v>46230</v>
      </c>
      <c r="G33" s="2" t="s">
        <v>255</v>
      </c>
      <c r="H33" s="2">
        <v>200</v>
      </c>
    </row>
    <row r="34" spans="1:8">
      <c r="A34" s="2" t="s">
        <v>250</v>
      </c>
      <c r="B34" s="2" t="s">
        <v>240</v>
      </c>
      <c r="C34" s="2" t="s">
        <v>428</v>
      </c>
      <c r="D34" s="2">
        <v>10</v>
      </c>
      <c r="E34" s="2" t="s">
        <v>429</v>
      </c>
      <c r="F34" s="5">
        <v>46230</v>
      </c>
      <c r="G34" s="2" t="s">
        <v>255</v>
      </c>
      <c r="H34" s="2">
        <v>200</v>
      </c>
    </row>
    <row r="35" spans="1:8">
      <c r="A35" s="2" t="s">
        <v>250</v>
      </c>
      <c r="B35" s="2" t="s">
        <v>240</v>
      </c>
      <c r="C35" s="2" t="s">
        <v>430</v>
      </c>
      <c r="D35" s="2">
        <v>10</v>
      </c>
      <c r="E35" s="2" t="s">
        <v>431</v>
      </c>
      <c r="F35" s="5">
        <v>46230</v>
      </c>
      <c r="G35" s="2" t="s">
        <v>255</v>
      </c>
      <c r="H35" s="2">
        <v>200</v>
      </c>
    </row>
    <row r="36" spans="1:8">
      <c r="A36" s="2" t="s">
        <v>250</v>
      </c>
      <c r="B36" s="2" t="s">
        <v>240</v>
      </c>
      <c r="C36" s="2" t="s">
        <v>432</v>
      </c>
      <c r="D36" s="2">
        <v>0</v>
      </c>
      <c r="E36" s="2" t="s">
        <v>433</v>
      </c>
      <c r="F36" s="5">
        <v>46230</v>
      </c>
      <c r="G36" s="2" t="s">
        <v>255</v>
      </c>
      <c r="H36" s="2">
        <v>200</v>
      </c>
    </row>
    <row r="37" spans="1:8">
      <c r="A37" s="2" t="s">
        <v>250</v>
      </c>
      <c r="B37" s="2" t="s">
        <v>240</v>
      </c>
      <c r="C37" s="2" t="s">
        <v>434</v>
      </c>
      <c r="D37" s="2">
        <v>5</v>
      </c>
      <c r="E37" s="2" t="s">
        <v>435</v>
      </c>
      <c r="F37" s="5">
        <v>46230</v>
      </c>
      <c r="G37" s="2" t="s">
        <v>255</v>
      </c>
      <c r="H37" s="2">
        <v>200</v>
      </c>
    </row>
    <row r="38" spans="1:8">
      <c r="A38" s="2" t="s">
        <v>250</v>
      </c>
      <c r="B38" s="2" t="s">
        <v>240</v>
      </c>
      <c r="C38" s="2" t="s">
        <v>436</v>
      </c>
      <c r="D38" s="2">
        <v>-1</v>
      </c>
      <c r="E38" s="2" t="s">
        <v>437</v>
      </c>
      <c r="F38" s="5">
        <v>46230</v>
      </c>
      <c r="G38" s="2" t="s">
        <v>255</v>
      </c>
      <c r="H38" s="2">
        <v>200</v>
      </c>
    </row>
    <row r="39" spans="1:8">
      <c r="A39" s="2" t="s">
        <v>250</v>
      </c>
      <c r="B39" s="2" t="s">
        <v>240</v>
      </c>
      <c r="C39" s="2" t="s">
        <v>438</v>
      </c>
      <c r="D39" s="2">
        <v>0</v>
      </c>
      <c r="E39" s="2" t="s">
        <v>439</v>
      </c>
      <c r="F39" s="5">
        <v>46230</v>
      </c>
      <c r="G39" s="2" t="s">
        <v>255</v>
      </c>
      <c r="H39" s="2">
        <v>200</v>
      </c>
    </row>
    <row r="40" spans="1:8">
      <c r="A40" s="2" t="s">
        <v>250</v>
      </c>
      <c r="B40" s="2" t="s">
        <v>240</v>
      </c>
      <c r="C40" s="2" t="s">
        <v>440</v>
      </c>
      <c r="D40" s="2">
        <v>10</v>
      </c>
      <c r="E40" s="2" t="s">
        <v>441</v>
      </c>
      <c r="F40" s="5">
        <v>46230</v>
      </c>
      <c r="G40" s="2" t="s">
        <v>255</v>
      </c>
      <c r="H40" s="2">
        <v>200</v>
      </c>
    </row>
    <row r="41" spans="1:8">
      <c r="A41" s="2" t="s">
        <v>256</v>
      </c>
      <c r="B41" s="2" t="s">
        <v>240</v>
      </c>
      <c r="C41" s="2" t="s">
        <v>411</v>
      </c>
      <c r="D41" s="2"/>
      <c r="E41" s="2" t="s">
        <v>413</v>
      </c>
      <c r="F41" s="5"/>
      <c r="G41" s="2" t="s">
        <v>262</v>
      </c>
      <c r="H41" s="2">
        <v>404</v>
      </c>
    </row>
    <row r="42" spans="1:8">
      <c r="A42" s="2" t="s">
        <v>263</v>
      </c>
      <c r="B42" s="2" t="s">
        <v>240</v>
      </c>
      <c r="C42" s="2" t="s">
        <v>418</v>
      </c>
      <c r="D42" s="2">
        <v>10</v>
      </c>
      <c r="E42" s="2" t="s">
        <v>442</v>
      </c>
      <c r="F42" s="5">
        <v>46230</v>
      </c>
      <c r="G42" s="2" t="s">
        <v>269</v>
      </c>
      <c r="H42" s="2">
        <v>200</v>
      </c>
    </row>
    <row r="43" spans="1:8">
      <c r="A43" s="2" t="s">
        <v>263</v>
      </c>
      <c r="B43" s="2" t="s">
        <v>240</v>
      </c>
      <c r="C43" s="2" t="s">
        <v>424</v>
      </c>
      <c r="D43" s="2">
        <v>10</v>
      </c>
      <c r="E43" s="2" t="s">
        <v>425</v>
      </c>
      <c r="F43" s="5">
        <v>46230</v>
      </c>
      <c r="G43" s="2" t="s">
        <v>269</v>
      </c>
      <c r="H43" s="2">
        <v>200</v>
      </c>
    </row>
    <row r="44" spans="1:8">
      <c r="A44" s="2" t="s">
        <v>263</v>
      </c>
      <c r="B44" s="2" t="s">
        <v>240</v>
      </c>
      <c r="C44" s="2" t="s">
        <v>414</v>
      </c>
      <c r="D44" s="2">
        <v>10</v>
      </c>
      <c r="E44" s="2" t="s">
        <v>443</v>
      </c>
      <c r="F44" s="5">
        <v>46230</v>
      </c>
      <c r="G44" s="2" t="s">
        <v>269</v>
      </c>
      <c r="H44" s="2">
        <v>200</v>
      </c>
    </row>
    <row r="45" spans="1:8">
      <c r="A45" s="2" t="s">
        <v>263</v>
      </c>
      <c r="B45" s="2" t="s">
        <v>240</v>
      </c>
      <c r="C45" s="2" t="s">
        <v>416</v>
      </c>
      <c r="D45" s="2">
        <v>0</v>
      </c>
      <c r="E45" s="2" t="s">
        <v>417</v>
      </c>
      <c r="F45" s="5">
        <v>46230</v>
      </c>
      <c r="G45" s="2" t="s">
        <v>269</v>
      </c>
      <c r="H45" s="2">
        <v>200</v>
      </c>
    </row>
    <row r="46" spans="1:8">
      <c r="A46" s="2" t="s">
        <v>263</v>
      </c>
      <c r="B46" s="2" t="s">
        <v>240</v>
      </c>
      <c r="C46" s="2" t="s">
        <v>426</v>
      </c>
      <c r="D46" s="2">
        <v>0</v>
      </c>
      <c r="E46" s="2" t="s">
        <v>427</v>
      </c>
      <c r="F46" s="5">
        <v>46230</v>
      </c>
      <c r="G46" s="2" t="s">
        <v>269</v>
      </c>
      <c r="H46" s="2">
        <v>200</v>
      </c>
    </row>
    <row r="47" spans="1:8">
      <c r="A47" s="2" t="s">
        <v>263</v>
      </c>
      <c r="B47" s="2" t="s">
        <v>240</v>
      </c>
      <c r="C47" s="2" t="s">
        <v>428</v>
      </c>
      <c r="D47" s="2">
        <v>9</v>
      </c>
      <c r="E47" s="2" t="s">
        <v>444</v>
      </c>
      <c r="F47" s="5">
        <v>46230</v>
      </c>
      <c r="G47" s="2" t="s">
        <v>269</v>
      </c>
      <c r="H47" s="2">
        <v>200</v>
      </c>
    </row>
    <row r="48" spans="1:8">
      <c r="A48" s="2" t="s">
        <v>263</v>
      </c>
      <c r="B48" s="2" t="s">
        <v>240</v>
      </c>
      <c r="C48" s="2" t="s">
        <v>432</v>
      </c>
      <c r="D48" s="2">
        <v>10</v>
      </c>
      <c r="E48" s="2" t="s">
        <v>445</v>
      </c>
      <c r="F48" s="5">
        <v>46230</v>
      </c>
      <c r="G48" s="2" t="s">
        <v>269</v>
      </c>
      <c r="H48" s="2">
        <v>200</v>
      </c>
    </row>
    <row r="49" spans="1:8">
      <c r="A49" s="2" t="s">
        <v>263</v>
      </c>
      <c r="B49" s="2" t="s">
        <v>240</v>
      </c>
      <c r="C49" s="2" t="s">
        <v>420</v>
      </c>
      <c r="D49" s="2">
        <v>0</v>
      </c>
      <c r="E49" s="2" t="s">
        <v>446</v>
      </c>
      <c r="F49" s="5">
        <v>46230</v>
      </c>
      <c r="G49" s="2" t="s">
        <v>269</v>
      </c>
      <c r="H49" s="2">
        <v>200</v>
      </c>
    </row>
    <row r="50" spans="1:8">
      <c r="A50" s="2" t="s">
        <v>263</v>
      </c>
      <c r="B50" s="2" t="s">
        <v>240</v>
      </c>
      <c r="C50" s="2" t="s">
        <v>430</v>
      </c>
      <c r="D50" s="2">
        <v>10</v>
      </c>
      <c r="E50" s="2" t="s">
        <v>431</v>
      </c>
      <c r="F50" s="5">
        <v>46230</v>
      </c>
      <c r="G50" s="2" t="s">
        <v>269</v>
      </c>
      <c r="H50" s="2">
        <v>200</v>
      </c>
    </row>
    <row r="51" spans="1:8">
      <c r="A51" s="2" t="s">
        <v>263</v>
      </c>
      <c r="B51" s="2" t="s">
        <v>240</v>
      </c>
      <c r="C51" s="2" t="s">
        <v>438</v>
      </c>
      <c r="D51" s="2">
        <v>0</v>
      </c>
      <c r="E51" s="2" t="s">
        <v>439</v>
      </c>
      <c r="F51" s="5">
        <v>46230</v>
      </c>
      <c r="G51" s="2" t="s">
        <v>269</v>
      </c>
      <c r="H51" s="2">
        <v>200</v>
      </c>
    </row>
    <row r="52" spans="1:8">
      <c r="A52" s="2" t="s">
        <v>263</v>
      </c>
      <c r="B52" s="2" t="s">
        <v>240</v>
      </c>
      <c r="C52" s="2" t="s">
        <v>422</v>
      </c>
      <c r="D52" s="2">
        <v>10</v>
      </c>
      <c r="E52" s="2" t="s">
        <v>447</v>
      </c>
      <c r="F52" s="5">
        <v>46230</v>
      </c>
      <c r="G52" s="2" t="s">
        <v>269</v>
      </c>
      <c r="H52" s="2">
        <v>200</v>
      </c>
    </row>
    <row r="53" spans="1:8">
      <c r="A53" s="2" t="s">
        <v>263</v>
      </c>
      <c r="B53" s="2" t="s">
        <v>240</v>
      </c>
      <c r="C53" s="2" t="s">
        <v>436</v>
      </c>
      <c r="D53" s="2">
        <v>-1</v>
      </c>
      <c r="E53" s="2" t="s">
        <v>437</v>
      </c>
      <c r="F53" s="5">
        <v>46230</v>
      </c>
      <c r="G53" s="2" t="s">
        <v>269</v>
      </c>
      <c r="H53" s="2">
        <v>200</v>
      </c>
    </row>
    <row r="54" spans="1:8">
      <c r="A54" s="2" t="s">
        <v>263</v>
      </c>
      <c r="B54" s="2" t="s">
        <v>240</v>
      </c>
      <c r="C54" s="2" t="s">
        <v>434</v>
      </c>
      <c r="D54" s="2">
        <v>3</v>
      </c>
      <c r="E54" s="2" t="s">
        <v>435</v>
      </c>
      <c r="F54" s="5">
        <v>46230</v>
      </c>
      <c r="G54" s="2" t="s">
        <v>269</v>
      </c>
      <c r="H54" s="2">
        <v>200</v>
      </c>
    </row>
    <row r="55" spans="1:8">
      <c r="A55" s="2" t="s">
        <v>263</v>
      </c>
      <c r="B55" s="2" t="s">
        <v>240</v>
      </c>
      <c r="C55" s="2" t="s">
        <v>440</v>
      </c>
      <c r="D55" s="2">
        <v>0</v>
      </c>
      <c r="E55" s="2" t="s">
        <v>448</v>
      </c>
      <c r="F55" s="5">
        <v>46230</v>
      </c>
      <c r="G55" s="2" t="s">
        <v>269</v>
      </c>
      <c r="H55" s="2">
        <v>200</v>
      </c>
    </row>
    <row r="56" spans="1:8">
      <c r="A56" s="2" t="s">
        <v>270</v>
      </c>
      <c r="B56" s="2" t="s">
        <v>240</v>
      </c>
      <c r="C56" s="2" t="s">
        <v>422</v>
      </c>
      <c r="D56" s="2">
        <v>-1</v>
      </c>
      <c r="E56" s="2" t="s">
        <v>423</v>
      </c>
      <c r="F56" s="5">
        <v>46230</v>
      </c>
      <c r="G56" s="2" t="s">
        <v>276</v>
      </c>
      <c r="H56" s="2">
        <v>200</v>
      </c>
    </row>
    <row r="57" spans="1:8">
      <c r="A57" s="2" t="s">
        <v>270</v>
      </c>
      <c r="B57" s="2" t="s">
        <v>240</v>
      </c>
      <c r="C57" s="2" t="s">
        <v>424</v>
      </c>
      <c r="D57" s="2">
        <v>10</v>
      </c>
      <c r="E57" s="2" t="s">
        <v>425</v>
      </c>
      <c r="F57" s="5">
        <v>46230</v>
      </c>
      <c r="G57" s="2" t="s">
        <v>276</v>
      </c>
      <c r="H57" s="2">
        <v>200</v>
      </c>
    </row>
    <row r="58" spans="1:8">
      <c r="A58" s="2" t="s">
        <v>270</v>
      </c>
      <c r="B58" s="2" t="s">
        <v>240</v>
      </c>
      <c r="C58" s="2" t="s">
        <v>418</v>
      </c>
      <c r="D58" s="2">
        <v>1</v>
      </c>
      <c r="E58" s="2" t="s">
        <v>449</v>
      </c>
      <c r="F58" s="5">
        <v>46230</v>
      </c>
      <c r="G58" s="2" t="s">
        <v>276</v>
      </c>
      <c r="H58" s="2">
        <v>200</v>
      </c>
    </row>
    <row r="59" spans="1:8">
      <c r="A59" s="2" t="s">
        <v>270</v>
      </c>
      <c r="B59" s="2" t="s">
        <v>240</v>
      </c>
      <c r="C59" s="2" t="s">
        <v>420</v>
      </c>
      <c r="D59" s="2">
        <v>10</v>
      </c>
      <c r="E59" s="2" t="s">
        <v>421</v>
      </c>
      <c r="F59" s="5">
        <v>46230</v>
      </c>
      <c r="G59" s="2" t="s">
        <v>276</v>
      </c>
      <c r="H59" s="2">
        <v>200</v>
      </c>
    </row>
    <row r="60" spans="1:8">
      <c r="A60" s="2" t="s">
        <v>270</v>
      </c>
      <c r="B60" s="2" t="s">
        <v>240</v>
      </c>
      <c r="C60" s="2" t="s">
        <v>414</v>
      </c>
      <c r="D60" s="2">
        <v>10</v>
      </c>
      <c r="E60" s="2" t="s">
        <v>450</v>
      </c>
      <c r="F60" s="5">
        <v>46230</v>
      </c>
      <c r="G60" s="2" t="s">
        <v>276</v>
      </c>
      <c r="H60" s="2">
        <v>200</v>
      </c>
    </row>
    <row r="61" spans="1:8">
      <c r="A61" s="2" t="s">
        <v>270</v>
      </c>
      <c r="B61" s="2" t="s">
        <v>240</v>
      </c>
      <c r="C61" s="2" t="s">
        <v>416</v>
      </c>
      <c r="D61" s="2">
        <v>0</v>
      </c>
      <c r="E61" s="2" t="s">
        <v>417</v>
      </c>
      <c r="F61" s="5">
        <v>46230</v>
      </c>
      <c r="G61" s="2" t="s">
        <v>276</v>
      </c>
      <c r="H61" s="2">
        <v>200</v>
      </c>
    </row>
    <row r="62" spans="1:8">
      <c r="A62" s="2" t="s">
        <v>270</v>
      </c>
      <c r="B62" s="2" t="s">
        <v>240</v>
      </c>
      <c r="C62" s="2" t="s">
        <v>428</v>
      </c>
      <c r="D62" s="2">
        <v>10</v>
      </c>
      <c r="E62" s="2" t="s">
        <v>429</v>
      </c>
      <c r="F62" s="5">
        <v>46230</v>
      </c>
      <c r="G62" s="2" t="s">
        <v>276</v>
      </c>
      <c r="H62" s="2">
        <v>200</v>
      </c>
    </row>
    <row r="63" spans="1:8">
      <c r="A63" s="2" t="s">
        <v>270</v>
      </c>
      <c r="B63" s="2" t="s">
        <v>240</v>
      </c>
      <c r="C63" s="2" t="s">
        <v>426</v>
      </c>
      <c r="D63" s="2">
        <v>0</v>
      </c>
      <c r="E63" s="2" t="s">
        <v>427</v>
      </c>
      <c r="F63" s="5">
        <v>46230</v>
      </c>
      <c r="G63" s="2" t="s">
        <v>276</v>
      </c>
      <c r="H63" s="2">
        <v>200</v>
      </c>
    </row>
    <row r="64" spans="1:8">
      <c r="A64" s="2" t="s">
        <v>270</v>
      </c>
      <c r="B64" s="2" t="s">
        <v>240</v>
      </c>
      <c r="C64" s="2" t="s">
        <v>432</v>
      </c>
      <c r="D64" s="2">
        <v>0</v>
      </c>
      <c r="E64" s="2" t="s">
        <v>433</v>
      </c>
      <c r="F64" s="5">
        <v>46230</v>
      </c>
      <c r="G64" s="2" t="s">
        <v>276</v>
      </c>
      <c r="H64" s="2">
        <v>200</v>
      </c>
    </row>
    <row r="65" spans="1:8">
      <c r="A65" s="2" t="s">
        <v>270</v>
      </c>
      <c r="B65" s="2" t="s">
        <v>240</v>
      </c>
      <c r="C65" s="2" t="s">
        <v>430</v>
      </c>
      <c r="D65" s="2">
        <v>10</v>
      </c>
      <c r="E65" s="2" t="s">
        <v>431</v>
      </c>
      <c r="F65" s="5">
        <v>46230</v>
      </c>
      <c r="G65" s="2" t="s">
        <v>276</v>
      </c>
      <c r="H65" s="2">
        <v>200</v>
      </c>
    </row>
    <row r="66" spans="1:8">
      <c r="A66" s="2" t="s">
        <v>270</v>
      </c>
      <c r="B66" s="2" t="s">
        <v>240</v>
      </c>
      <c r="C66" s="2" t="s">
        <v>438</v>
      </c>
      <c r="D66" s="2">
        <v>0</v>
      </c>
      <c r="E66" s="2" t="s">
        <v>439</v>
      </c>
      <c r="F66" s="5">
        <v>46230</v>
      </c>
      <c r="G66" s="2" t="s">
        <v>276</v>
      </c>
      <c r="H66" s="2">
        <v>200</v>
      </c>
    </row>
    <row r="67" spans="1:8">
      <c r="A67" s="2" t="s">
        <v>270</v>
      </c>
      <c r="B67" s="2" t="s">
        <v>240</v>
      </c>
      <c r="C67" s="2" t="s">
        <v>434</v>
      </c>
      <c r="D67" s="2">
        <v>-1</v>
      </c>
      <c r="E67" s="2" t="s">
        <v>451</v>
      </c>
      <c r="F67" s="5">
        <v>46230</v>
      </c>
      <c r="G67" s="2" t="s">
        <v>276</v>
      </c>
      <c r="H67" s="2">
        <v>200</v>
      </c>
    </row>
    <row r="68" spans="1:8">
      <c r="A68" s="2" t="s">
        <v>270</v>
      </c>
      <c r="B68" s="2" t="s">
        <v>240</v>
      </c>
      <c r="C68" s="2" t="s">
        <v>436</v>
      </c>
      <c r="D68" s="2">
        <v>-1</v>
      </c>
      <c r="E68" s="2" t="s">
        <v>437</v>
      </c>
      <c r="F68" s="5">
        <v>46230</v>
      </c>
      <c r="G68" s="2" t="s">
        <v>276</v>
      </c>
      <c r="H68" s="2">
        <v>200</v>
      </c>
    </row>
    <row r="69" spans="1:8">
      <c r="A69" s="2" t="s">
        <v>270</v>
      </c>
      <c r="B69" s="2" t="s">
        <v>240</v>
      </c>
      <c r="C69" s="2" t="s">
        <v>440</v>
      </c>
      <c r="D69" s="2">
        <v>0</v>
      </c>
      <c r="E69" s="2" t="s">
        <v>448</v>
      </c>
      <c r="F69" s="5">
        <v>46230</v>
      </c>
      <c r="G69" s="2" t="s">
        <v>276</v>
      </c>
      <c r="H69" s="2">
        <v>200</v>
      </c>
    </row>
    <row r="70" spans="1:8">
      <c r="A70" s="2" t="s">
        <v>277</v>
      </c>
      <c r="B70" s="2" t="s">
        <v>240</v>
      </c>
      <c r="C70" s="2" t="s">
        <v>418</v>
      </c>
      <c r="D70" s="2">
        <v>8</v>
      </c>
      <c r="E70" s="2" t="s">
        <v>452</v>
      </c>
      <c r="F70" s="5">
        <v>46230</v>
      </c>
      <c r="G70" s="2" t="s">
        <v>283</v>
      </c>
      <c r="H70" s="2">
        <v>200</v>
      </c>
    </row>
    <row r="71" spans="1:8">
      <c r="A71" s="2" t="s">
        <v>277</v>
      </c>
      <c r="B71" s="2" t="s">
        <v>240</v>
      </c>
      <c r="C71" s="2" t="s">
        <v>420</v>
      </c>
      <c r="D71" s="2">
        <v>10</v>
      </c>
      <c r="E71" s="2" t="s">
        <v>421</v>
      </c>
      <c r="F71" s="5">
        <v>46230</v>
      </c>
      <c r="G71" s="2" t="s">
        <v>283</v>
      </c>
      <c r="H71" s="2">
        <v>200</v>
      </c>
    </row>
    <row r="72" spans="1:8">
      <c r="A72" s="2" t="s">
        <v>277</v>
      </c>
      <c r="B72" s="2" t="s">
        <v>240</v>
      </c>
      <c r="C72" s="2" t="s">
        <v>422</v>
      </c>
      <c r="D72" s="2">
        <v>-1</v>
      </c>
      <c r="E72" s="2" t="s">
        <v>423</v>
      </c>
      <c r="F72" s="5">
        <v>46230</v>
      </c>
      <c r="G72" s="2" t="s">
        <v>283</v>
      </c>
      <c r="H72" s="2">
        <v>200</v>
      </c>
    </row>
    <row r="73" spans="1:8">
      <c r="A73" s="2" t="s">
        <v>277</v>
      </c>
      <c r="B73" s="2" t="s">
        <v>240</v>
      </c>
      <c r="C73" s="2" t="s">
        <v>424</v>
      </c>
      <c r="D73" s="2">
        <v>10</v>
      </c>
      <c r="E73" s="2" t="s">
        <v>425</v>
      </c>
      <c r="F73" s="5">
        <v>46230</v>
      </c>
      <c r="G73" s="2" t="s">
        <v>283</v>
      </c>
      <c r="H73" s="2">
        <v>200</v>
      </c>
    </row>
    <row r="74" spans="1:8">
      <c r="A74" s="2" t="s">
        <v>277</v>
      </c>
      <c r="B74" s="2" t="s">
        <v>240</v>
      </c>
      <c r="C74" s="2" t="s">
        <v>414</v>
      </c>
      <c r="D74" s="2">
        <v>10</v>
      </c>
      <c r="E74" s="2" t="s">
        <v>453</v>
      </c>
      <c r="F74" s="5">
        <v>46230</v>
      </c>
      <c r="G74" s="2" t="s">
        <v>283</v>
      </c>
      <c r="H74" s="2">
        <v>200</v>
      </c>
    </row>
    <row r="75" spans="1:8">
      <c r="A75" s="2" t="s">
        <v>277</v>
      </c>
      <c r="B75" s="2" t="s">
        <v>240</v>
      </c>
      <c r="C75" s="2" t="s">
        <v>416</v>
      </c>
      <c r="D75" s="2">
        <v>0</v>
      </c>
      <c r="E75" s="2" t="s">
        <v>417</v>
      </c>
      <c r="F75" s="5">
        <v>46230</v>
      </c>
      <c r="G75" s="2" t="s">
        <v>283</v>
      </c>
      <c r="H75" s="2">
        <v>200</v>
      </c>
    </row>
    <row r="76" spans="1:8">
      <c r="A76" s="2" t="s">
        <v>277</v>
      </c>
      <c r="B76" s="2" t="s">
        <v>240</v>
      </c>
      <c r="C76" s="2" t="s">
        <v>426</v>
      </c>
      <c r="D76" s="2">
        <v>6</v>
      </c>
      <c r="E76" s="2" t="s">
        <v>427</v>
      </c>
      <c r="F76" s="5">
        <v>46230</v>
      </c>
      <c r="G76" s="2" t="s">
        <v>283</v>
      </c>
      <c r="H76" s="2">
        <v>200</v>
      </c>
    </row>
    <row r="77" spans="1:8">
      <c r="A77" s="2" t="s">
        <v>277</v>
      </c>
      <c r="B77" s="2" t="s">
        <v>240</v>
      </c>
      <c r="C77" s="2" t="s">
        <v>428</v>
      </c>
      <c r="D77" s="2">
        <v>1</v>
      </c>
      <c r="E77" s="2" t="s">
        <v>444</v>
      </c>
      <c r="F77" s="5">
        <v>46230</v>
      </c>
      <c r="G77" s="2" t="s">
        <v>283</v>
      </c>
      <c r="H77" s="2">
        <v>200</v>
      </c>
    </row>
    <row r="78" spans="1:8">
      <c r="A78" s="2" t="s">
        <v>277</v>
      </c>
      <c r="B78" s="2" t="s">
        <v>240</v>
      </c>
      <c r="C78" s="2" t="s">
        <v>430</v>
      </c>
      <c r="D78" s="2">
        <v>10</v>
      </c>
      <c r="E78" s="2" t="s">
        <v>431</v>
      </c>
      <c r="F78" s="5">
        <v>46230</v>
      </c>
      <c r="G78" s="2" t="s">
        <v>283</v>
      </c>
      <c r="H78" s="2">
        <v>200</v>
      </c>
    </row>
    <row r="79" spans="1:8">
      <c r="A79" s="2" t="s">
        <v>277</v>
      </c>
      <c r="B79" s="2" t="s">
        <v>240</v>
      </c>
      <c r="C79" s="2" t="s">
        <v>432</v>
      </c>
      <c r="D79" s="2">
        <v>8</v>
      </c>
      <c r="E79" s="2" t="s">
        <v>454</v>
      </c>
      <c r="F79" s="5">
        <v>46230</v>
      </c>
      <c r="G79" s="2" t="s">
        <v>283</v>
      </c>
      <c r="H79" s="2">
        <v>200</v>
      </c>
    </row>
    <row r="80" spans="1:8">
      <c r="A80" s="2" t="s">
        <v>277</v>
      </c>
      <c r="B80" s="2" t="s">
        <v>240</v>
      </c>
      <c r="C80" s="2" t="s">
        <v>436</v>
      </c>
      <c r="D80" s="2">
        <v>-1</v>
      </c>
      <c r="E80" s="2" t="s">
        <v>437</v>
      </c>
      <c r="F80" s="5">
        <v>46230</v>
      </c>
      <c r="G80" s="2" t="s">
        <v>283</v>
      </c>
      <c r="H80" s="2">
        <v>200</v>
      </c>
    </row>
    <row r="81" spans="1:8">
      <c r="A81" s="2" t="s">
        <v>277</v>
      </c>
      <c r="B81" s="2" t="s">
        <v>240</v>
      </c>
      <c r="C81" s="2" t="s">
        <v>434</v>
      </c>
      <c r="D81" s="2">
        <v>-1</v>
      </c>
      <c r="E81" s="2" t="s">
        <v>451</v>
      </c>
      <c r="F81" s="5">
        <v>46230</v>
      </c>
      <c r="G81" s="2" t="s">
        <v>283</v>
      </c>
      <c r="H81" s="2">
        <v>200</v>
      </c>
    </row>
    <row r="82" spans="1:8">
      <c r="A82" s="2" t="s">
        <v>277</v>
      </c>
      <c r="B82" s="2" t="s">
        <v>240</v>
      </c>
      <c r="C82" s="2" t="s">
        <v>438</v>
      </c>
      <c r="D82" s="2">
        <v>0</v>
      </c>
      <c r="E82" s="2" t="s">
        <v>439</v>
      </c>
      <c r="F82" s="5">
        <v>46230</v>
      </c>
      <c r="G82" s="2" t="s">
        <v>283</v>
      </c>
      <c r="H82" s="2">
        <v>200</v>
      </c>
    </row>
    <row r="83" spans="1:8">
      <c r="A83" s="2" t="s">
        <v>277</v>
      </c>
      <c r="B83" s="2" t="s">
        <v>240</v>
      </c>
      <c r="C83" s="2" t="s">
        <v>440</v>
      </c>
      <c r="D83" s="2">
        <v>10</v>
      </c>
      <c r="E83" s="2" t="s">
        <v>441</v>
      </c>
      <c r="F83" s="5">
        <v>46230</v>
      </c>
      <c r="G83" s="2" t="s">
        <v>283</v>
      </c>
      <c r="H83" s="2">
        <v>200</v>
      </c>
    </row>
    <row r="84" spans="1:8">
      <c r="A84" s="2" t="s">
        <v>284</v>
      </c>
      <c r="B84" s="2" t="s">
        <v>240</v>
      </c>
      <c r="C84" s="2" t="s">
        <v>418</v>
      </c>
      <c r="D84" s="2">
        <v>5</v>
      </c>
      <c r="E84" s="2" t="s">
        <v>455</v>
      </c>
      <c r="F84" s="5">
        <v>46230</v>
      </c>
      <c r="G84" s="2" t="s">
        <v>290</v>
      </c>
      <c r="H84" s="2">
        <v>200</v>
      </c>
    </row>
    <row r="85" spans="1:8">
      <c r="A85" s="2" t="s">
        <v>284</v>
      </c>
      <c r="B85" s="2" t="s">
        <v>240</v>
      </c>
      <c r="C85" s="2" t="s">
        <v>420</v>
      </c>
      <c r="D85" s="2">
        <v>9</v>
      </c>
      <c r="E85" s="2" t="s">
        <v>421</v>
      </c>
      <c r="F85" s="5">
        <v>46230</v>
      </c>
      <c r="G85" s="2" t="s">
        <v>290</v>
      </c>
      <c r="H85" s="2">
        <v>200</v>
      </c>
    </row>
    <row r="86" spans="1:8">
      <c r="A86" s="2" t="s">
        <v>284</v>
      </c>
      <c r="B86" s="2" t="s">
        <v>240</v>
      </c>
      <c r="C86" s="2" t="s">
        <v>414</v>
      </c>
      <c r="D86" s="2">
        <v>10</v>
      </c>
      <c r="E86" s="2" t="s">
        <v>456</v>
      </c>
      <c r="F86" s="5">
        <v>46230</v>
      </c>
      <c r="G86" s="2" t="s">
        <v>290</v>
      </c>
      <c r="H86" s="2">
        <v>200</v>
      </c>
    </row>
    <row r="87" spans="1:8">
      <c r="A87" s="2" t="s">
        <v>284</v>
      </c>
      <c r="B87" s="2" t="s">
        <v>240</v>
      </c>
      <c r="C87" s="2" t="s">
        <v>424</v>
      </c>
      <c r="D87" s="2">
        <v>10</v>
      </c>
      <c r="E87" s="2" t="s">
        <v>425</v>
      </c>
      <c r="F87" s="5">
        <v>46230</v>
      </c>
      <c r="G87" s="2" t="s">
        <v>290</v>
      </c>
      <c r="H87" s="2">
        <v>200</v>
      </c>
    </row>
    <row r="88" spans="1:8">
      <c r="A88" s="2" t="s">
        <v>284</v>
      </c>
      <c r="B88" s="2" t="s">
        <v>240</v>
      </c>
      <c r="C88" s="2" t="s">
        <v>422</v>
      </c>
      <c r="D88" s="2">
        <v>-1</v>
      </c>
      <c r="E88" s="2" t="s">
        <v>423</v>
      </c>
      <c r="F88" s="5">
        <v>46230</v>
      </c>
      <c r="G88" s="2" t="s">
        <v>290</v>
      </c>
      <c r="H88" s="2">
        <v>200</v>
      </c>
    </row>
    <row r="89" spans="1:8">
      <c r="A89" s="2" t="s">
        <v>284</v>
      </c>
      <c r="B89" s="2" t="s">
        <v>240</v>
      </c>
      <c r="C89" s="2" t="s">
        <v>426</v>
      </c>
      <c r="D89" s="2">
        <v>10</v>
      </c>
      <c r="E89" s="2" t="s">
        <v>457</v>
      </c>
      <c r="F89" s="5">
        <v>46230</v>
      </c>
      <c r="G89" s="2" t="s">
        <v>290</v>
      </c>
      <c r="H89" s="2">
        <v>200</v>
      </c>
    </row>
    <row r="90" spans="1:8">
      <c r="A90" s="2" t="s">
        <v>284</v>
      </c>
      <c r="B90" s="2" t="s">
        <v>240</v>
      </c>
      <c r="C90" s="2" t="s">
        <v>416</v>
      </c>
      <c r="D90" s="2">
        <v>0</v>
      </c>
      <c r="E90" s="2" t="s">
        <v>417</v>
      </c>
      <c r="F90" s="5">
        <v>46230</v>
      </c>
      <c r="G90" s="2" t="s">
        <v>290</v>
      </c>
      <c r="H90" s="2">
        <v>200</v>
      </c>
    </row>
    <row r="91" spans="1:8">
      <c r="A91" s="2" t="s">
        <v>284</v>
      </c>
      <c r="B91" s="2" t="s">
        <v>240</v>
      </c>
      <c r="C91" s="2" t="s">
        <v>432</v>
      </c>
      <c r="D91" s="2">
        <v>0</v>
      </c>
      <c r="E91" s="2" t="s">
        <v>433</v>
      </c>
      <c r="F91" s="5">
        <v>46230</v>
      </c>
      <c r="G91" s="2" t="s">
        <v>290</v>
      </c>
      <c r="H91" s="2">
        <v>200</v>
      </c>
    </row>
    <row r="92" spans="1:8">
      <c r="A92" s="2" t="s">
        <v>284</v>
      </c>
      <c r="B92" s="2" t="s">
        <v>240</v>
      </c>
      <c r="C92" s="2" t="s">
        <v>428</v>
      </c>
      <c r="D92" s="2">
        <v>10</v>
      </c>
      <c r="E92" s="2" t="s">
        <v>429</v>
      </c>
      <c r="F92" s="5">
        <v>46230</v>
      </c>
      <c r="G92" s="2" t="s">
        <v>290</v>
      </c>
      <c r="H92" s="2">
        <v>200</v>
      </c>
    </row>
    <row r="93" spans="1:8">
      <c r="A93" s="2" t="s">
        <v>284</v>
      </c>
      <c r="B93" s="2" t="s">
        <v>240</v>
      </c>
      <c r="C93" s="2" t="s">
        <v>430</v>
      </c>
      <c r="D93" s="2">
        <v>10</v>
      </c>
      <c r="E93" s="2" t="s">
        <v>431</v>
      </c>
      <c r="F93" s="5">
        <v>46230</v>
      </c>
      <c r="G93" s="2" t="s">
        <v>290</v>
      </c>
      <c r="H93" s="2">
        <v>200</v>
      </c>
    </row>
    <row r="94" spans="1:8">
      <c r="A94" s="2" t="s">
        <v>284</v>
      </c>
      <c r="B94" s="2" t="s">
        <v>240</v>
      </c>
      <c r="C94" s="2" t="s">
        <v>436</v>
      </c>
      <c r="D94" s="2">
        <v>-1</v>
      </c>
      <c r="E94" s="2" t="s">
        <v>437</v>
      </c>
      <c r="F94" s="5">
        <v>46230</v>
      </c>
      <c r="G94" s="2" t="s">
        <v>290</v>
      </c>
      <c r="H94" s="2">
        <v>200</v>
      </c>
    </row>
    <row r="95" spans="1:8">
      <c r="A95" s="2" t="s">
        <v>284</v>
      </c>
      <c r="B95" s="2" t="s">
        <v>240</v>
      </c>
      <c r="C95" s="2" t="s">
        <v>438</v>
      </c>
      <c r="D95" s="2">
        <v>0</v>
      </c>
      <c r="E95" s="2" t="s">
        <v>439</v>
      </c>
      <c r="F95" s="5">
        <v>46230</v>
      </c>
      <c r="G95" s="2" t="s">
        <v>290</v>
      </c>
      <c r="H95" s="2">
        <v>200</v>
      </c>
    </row>
    <row r="96" spans="1:8">
      <c r="A96" s="2" t="s">
        <v>284</v>
      </c>
      <c r="B96" s="2" t="s">
        <v>240</v>
      </c>
      <c r="C96" s="2" t="s">
        <v>434</v>
      </c>
      <c r="D96" s="2">
        <v>3</v>
      </c>
      <c r="E96" s="2" t="s">
        <v>435</v>
      </c>
      <c r="F96" s="5">
        <v>46230</v>
      </c>
      <c r="G96" s="2" t="s">
        <v>290</v>
      </c>
      <c r="H96" s="2">
        <v>200</v>
      </c>
    </row>
    <row r="97" spans="1:8">
      <c r="A97" s="2" t="s">
        <v>284</v>
      </c>
      <c r="B97" s="2" t="s">
        <v>240</v>
      </c>
      <c r="C97" s="2" t="s">
        <v>440</v>
      </c>
      <c r="D97" s="2">
        <v>9</v>
      </c>
      <c r="E97" s="2" t="s">
        <v>458</v>
      </c>
      <c r="F97" s="5">
        <v>46230</v>
      </c>
      <c r="G97" s="2" t="s">
        <v>290</v>
      </c>
      <c r="H97" s="2">
        <v>200</v>
      </c>
    </row>
    <row r="98" spans="1:8">
      <c r="A98" s="2" t="s">
        <v>291</v>
      </c>
      <c r="B98" s="2" t="s">
        <v>240</v>
      </c>
      <c r="C98" s="2" t="s">
        <v>428</v>
      </c>
      <c r="D98" s="2">
        <v>10</v>
      </c>
      <c r="E98" s="2" t="s">
        <v>429</v>
      </c>
      <c r="F98" s="5">
        <v>46230</v>
      </c>
      <c r="G98" s="2" t="s">
        <v>297</v>
      </c>
      <c r="H98" s="2">
        <v>200</v>
      </c>
    </row>
    <row r="99" spans="1:8">
      <c r="A99" s="2" t="s">
        <v>291</v>
      </c>
      <c r="B99" s="2" t="s">
        <v>240</v>
      </c>
      <c r="C99" s="2" t="s">
        <v>418</v>
      </c>
      <c r="D99" s="2">
        <v>10</v>
      </c>
      <c r="E99" s="2" t="s">
        <v>442</v>
      </c>
      <c r="F99" s="5">
        <v>46230</v>
      </c>
      <c r="G99" s="2" t="s">
        <v>297</v>
      </c>
      <c r="H99" s="2">
        <v>200</v>
      </c>
    </row>
    <row r="100" spans="1:8">
      <c r="A100" s="2" t="s">
        <v>291</v>
      </c>
      <c r="B100" s="2" t="s">
        <v>240</v>
      </c>
      <c r="C100" s="2" t="s">
        <v>414</v>
      </c>
      <c r="D100" s="2">
        <v>10</v>
      </c>
      <c r="E100" s="2" t="s">
        <v>459</v>
      </c>
      <c r="F100" s="5">
        <v>46230</v>
      </c>
      <c r="G100" s="2" t="s">
        <v>297</v>
      </c>
      <c r="H100" s="2">
        <v>200</v>
      </c>
    </row>
    <row r="101" spans="1:8">
      <c r="A101" s="2" t="s">
        <v>291</v>
      </c>
      <c r="B101" s="2" t="s">
        <v>240</v>
      </c>
      <c r="C101" s="2" t="s">
        <v>424</v>
      </c>
      <c r="D101" s="2">
        <v>10</v>
      </c>
      <c r="E101" s="2" t="s">
        <v>425</v>
      </c>
      <c r="F101" s="5">
        <v>46230</v>
      </c>
      <c r="G101" s="2" t="s">
        <v>297</v>
      </c>
      <c r="H101" s="2">
        <v>200</v>
      </c>
    </row>
    <row r="102" spans="1:8">
      <c r="A102" s="2" t="s">
        <v>291</v>
      </c>
      <c r="B102" s="2" t="s">
        <v>240</v>
      </c>
      <c r="C102" s="2" t="s">
        <v>426</v>
      </c>
      <c r="D102" s="2">
        <v>0</v>
      </c>
      <c r="E102" s="2" t="s">
        <v>427</v>
      </c>
      <c r="F102" s="5">
        <v>46230</v>
      </c>
      <c r="G102" s="2" t="s">
        <v>297</v>
      </c>
      <c r="H102" s="2">
        <v>200</v>
      </c>
    </row>
    <row r="103" spans="1:8">
      <c r="A103" s="2" t="s">
        <v>291</v>
      </c>
      <c r="B103" s="2" t="s">
        <v>240</v>
      </c>
      <c r="C103" s="2" t="s">
        <v>416</v>
      </c>
      <c r="D103" s="2">
        <v>0</v>
      </c>
      <c r="E103" s="2" t="s">
        <v>417</v>
      </c>
      <c r="F103" s="5">
        <v>46230</v>
      </c>
      <c r="G103" s="2" t="s">
        <v>297</v>
      </c>
      <c r="H103" s="2">
        <v>200</v>
      </c>
    </row>
    <row r="104" spans="1:8">
      <c r="A104" s="2" t="s">
        <v>291</v>
      </c>
      <c r="B104" s="2" t="s">
        <v>240</v>
      </c>
      <c r="C104" s="2" t="s">
        <v>438</v>
      </c>
      <c r="D104" s="2">
        <v>0</v>
      </c>
      <c r="E104" s="2" t="s">
        <v>439</v>
      </c>
      <c r="F104" s="5">
        <v>46230</v>
      </c>
      <c r="G104" s="2" t="s">
        <v>297</v>
      </c>
      <c r="H104" s="2">
        <v>200</v>
      </c>
    </row>
    <row r="105" spans="1:8">
      <c r="A105" s="2" t="s">
        <v>291</v>
      </c>
      <c r="B105" s="2" t="s">
        <v>240</v>
      </c>
      <c r="C105" s="2" t="s">
        <v>432</v>
      </c>
      <c r="D105" s="2">
        <v>3</v>
      </c>
      <c r="E105" s="2" t="s">
        <v>460</v>
      </c>
      <c r="F105" s="5">
        <v>46230</v>
      </c>
      <c r="G105" s="2" t="s">
        <v>297</v>
      </c>
      <c r="H105" s="2">
        <v>200</v>
      </c>
    </row>
    <row r="106" spans="1:8">
      <c r="A106" s="2" t="s">
        <v>291</v>
      </c>
      <c r="B106" s="2" t="s">
        <v>240</v>
      </c>
      <c r="C106" s="2" t="s">
        <v>430</v>
      </c>
      <c r="D106" s="2">
        <v>10</v>
      </c>
      <c r="E106" s="2" t="s">
        <v>431</v>
      </c>
      <c r="F106" s="5">
        <v>46230</v>
      </c>
      <c r="G106" s="2" t="s">
        <v>297</v>
      </c>
      <c r="H106" s="2">
        <v>200</v>
      </c>
    </row>
    <row r="107" spans="1:8">
      <c r="A107" s="2" t="s">
        <v>291</v>
      </c>
      <c r="B107" s="2" t="s">
        <v>240</v>
      </c>
      <c r="C107" s="2" t="s">
        <v>422</v>
      </c>
      <c r="D107" s="2">
        <v>-1</v>
      </c>
      <c r="E107" s="2" t="s">
        <v>423</v>
      </c>
      <c r="F107" s="5">
        <v>46230</v>
      </c>
      <c r="G107" s="2" t="s">
        <v>297</v>
      </c>
      <c r="H107" s="2">
        <v>200</v>
      </c>
    </row>
    <row r="108" spans="1:8">
      <c r="A108" s="2" t="s">
        <v>291</v>
      </c>
      <c r="B108" s="2" t="s">
        <v>240</v>
      </c>
      <c r="C108" s="2" t="s">
        <v>436</v>
      </c>
      <c r="D108" s="2">
        <v>-1</v>
      </c>
      <c r="E108" s="2" t="s">
        <v>437</v>
      </c>
      <c r="F108" s="5">
        <v>46230</v>
      </c>
      <c r="G108" s="2" t="s">
        <v>297</v>
      </c>
      <c r="H108" s="2">
        <v>200</v>
      </c>
    </row>
    <row r="109" spans="1:8">
      <c r="A109" s="2" t="s">
        <v>291</v>
      </c>
      <c r="B109" s="2" t="s">
        <v>240</v>
      </c>
      <c r="C109" s="2" t="s">
        <v>420</v>
      </c>
      <c r="D109" s="2">
        <v>9</v>
      </c>
      <c r="E109" s="2" t="s">
        <v>421</v>
      </c>
      <c r="F109" s="5">
        <v>46230</v>
      </c>
      <c r="G109" s="2" t="s">
        <v>297</v>
      </c>
      <c r="H109" s="2">
        <v>200</v>
      </c>
    </row>
    <row r="110" spans="1:8">
      <c r="A110" s="2" t="s">
        <v>291</v>
      </c>
      <c r="B110" s="2" t="s">
        <v>240</v>
      </c>
      <c r="C110" s="2" t="s">
        <v>434</v>
      </c>
      <c r="D110" s="2">
        <v>5</v>
      </c>
      <c r="E110" s="2" t="s">
        <v>435</v>
      </c>
      <c r="F110" s="5">
        <v>46230</v>
      </c>
      <c r="G110" s="2" t="s">
        <v>297</v>
      </c>
      <c r="H110" s="2">
        <v>200</v>
      </c>
    </row>
    <row r="111" spans="1:8">
      <c r="A111" s="2" t="s">
        <v>291</v>
      </c>
      <c r="B111" s="2" t="s">
        <v>240</v>
      </c>
      <c r="C111" s="2" t="s">
        <v>440</v>
      </c>
      <c r="D111" s="2">
        <v>10</v>
      </c>
      <c r="E111" s="2" t="s">
        <v>441</v>
      </c>
      <c r="F111" s="5">
        <v>46230</v>
      </c>
      <c r="G111" s="2" t="s">
        <v>297</v>
      </c>
      <c r="H111" s="2">
        <v>200</v>
      </c>
    </row>
    <row r="112" spans="1:8">
      <c r="A112" s="2" t="s">
        <v>298</v>
      </c>
      <c r="B112" s="2" t="s">
        <v>240</v>
      </c>
      <c r="C112" s="2" t="s">
        <v>414</v>
      </c>
      <c r="D112" s="2">
        <v>10</v>
      </c>
      <c r="E112" s="2" t="s">
        <v>461</v>
      </c>
      <c r="F112" s="5">
        <v>46230</v>
      </c>
      <c r="G112" s="2" t="s">
        <v>304</v>
      </c>
      <c r="H112" s="2">
        <v>200</v>
      </c>
    </row>
    <row r="113" spans="1:8">
      <c r="A113" s="2" t="s">
        <v>298</v>
      </c>
      <c r="B113" s="2" t="s">
        <v>240</v>
      </c>
      <c r="C113" s="2" t="s">
        <v>424</v>
      </c>
      <c r="D113" s="2">
        <v>10</v>
      </c>
      <c r="E113" s="2" t="s">
        <v>425</v>
      </c>
      <c r="F113" s="5">
        <v>46230</v>
      </c>
      <c r="G113" s="2" t="s">
        <v>304</v>
      </c>
      <c r="H113" s="2">
        <v>200</v>
      </c>
    </row>
    <row r="114" spans="1:8">
      <c r="A114" s="2" t="s">
        <v>298</v>
      </c>
      <c r="B114" s="2" t="s">
        <v>240</v>
      </c>
      <c r="C114" s="2" t="s">
        <v>418</v>
      </c>
      <c r="D114" s="2">
        <v>0</v>
      </c>
      <c r="E114" s="2" t="s">
        <v>462</v>
      </c>
      <c r="F114" s="5">
        <v>46230</v>
      </c>
      <c r="G114" s="2" t="s">
        <v>304</v>
      </c>
      <c r="H114" s="2">
        <v>200</v>
      </c>
    </row>
    <row r="115" spans="1:8">
      <c r="A115" s="2" t="s">
        <v>298</v>
      </c>
      <c r="B115" s="2" t="s">
        <v>240</v>
      </c>
      <c r="C115" s="2" t="s">
        <v>426</v>
      </c>
      <c r="D115" s="2">
        <v>10</v>
      </c>
      <c r="E115" s="2" t="s">
        <v>457</v>
      </c>
      <c r="F115" s="5">
        <v>46230</v>
      </c>
      <c r="G115" s="2" t="s">
        <v>304</v>
      </c>
      <c r="H115" s="2">
        <v>200</v>
      </c>
    </row>
    <row r="116" spans="1:8">
      <c r="A116" s="2" t="s">
        <v>298</v>
      </c>
      <c r="B116" s="2" t="s">
        <v>240</v>
      </c>
      <c r="C116" s="2" t="s">
        <v>428</v>
      </c>
      <c r="D116" s="2">
        <v>10</v>
      </c>
      <c r="E116" s="2" t="s">
        <v>429</v>
      </c>
      <c r="F116" s="5">
        <v>46230</v>
      </c>
      <c r="G116" s="2" t="s">
        <v>304</v>
      </c>
      <c r="H116" s="2">
        <v>200</v>
      </c>
    </row>
    <row r="117" spans="1:8">
      <c r="A117" s="2" t="s">
        <v>298</v>
      </c>
      <c r="B117" s="2" t="s">
        <v>240</v>
      </c>
      <c r="C117" s="2" t="s">
        <v>416</v>
      </c>
      <c r="D117" s="2">
        <v>0</v>
      </c>
      <c r="E117" s="2" t="s">
        <v>417</v>
      </c>
      <c r="F117" s="5">
        <v>46230</v>
      </c>
      <c r="G117" s="2" t="s">
        <v>304</v>
      </c>
      <c r="H117" s="2">
        <v>200</v>
      </c>
    </row>
    <row r="118" spans="1:8">
      <c r="A118" s="2" t="s">
        <v>298</v>
      </c>
      <c r="B118" s="2" t="s">
        <v>240</v>
      </c>
      <c r="C118" s="2" t="s">
        <v>432</v>
      </c>
      <c r="D118" s="2">
        <v>8</v>
      </c>
      <c r="E118" s="2" t="s">
        <v>454</v>
      </c>
      <c r="F118" s="5">
        <v>46230</v>
      </c>
      <c r="G118" s="2" t="s">
        <v>304</v>
      </c>
      <c r="H118" s="2">
        <v>200</v>
      </c>
    </row>
    <row r="119" spans="1:8">
      <c r="A119" s="2" t="s">
        <v>298</v>
      </c>
      <c r="B119" s="2" t="s">
        <v>240</v>
      </c>
      <c r="C119" s="2" t="s">
        <v>438</v>
      </c>
      <c r="D119" s="2">
        <v>10</v>
      </c>
      <c r="E119" s="2" t="s">
        <v>463</v>
      </c>
      <c r="F119" s="5">
        <v>46230</v>
      </c>
      <c r="G119" s="2" t="s">
        <v>304</v>
      </c>
      <c r="H119" s="2">
        <v>200</v>
      </c>
    </row>
    <row r="120" spans="1:8">
      <c r="A120" s="2" t="s">
        <v>298</v>
      </c>
      <c r="B120" s="2" t="s">
        <v>240</v>
      </c>
      <c r="C120" s="2" t="s">
        <v>430</v>
      </c>
      <c r="D120" s="2">
        <v>10</v>
      </c>
      <c r="E120" s="2" t="s">
        <v>431</v>
      </c>
      <c r="F120" s="5">
        <v>46230</v>
      </c>
      <c r="G120" s="2" t="s">
        <v>304</v>
      </c>
      <c r="H120" s="2">
        <v>200</v>
      </c>
    </row>
    <row r="121" spans="1:8">
      <c r="A121" s="2" t="s">
        <v>298</v>
      </c>
      <c r="B121" s="2" t="s">
        <v>240</v>
      </c>
      <c r="C121" s="2" t="s">
        <v>422</v>
      </c>
      <c r="D121" s="2">
        <v>10</v>
      </c>
      <c r="E121" s="2" t="s">
        <v>447</v>
      </c>
      <c r="F121" s="5">
        <v>46230</v>
      </c>
      <c r="G121" s="2" t="s">
        <v>304</v>
      </c>
      <c r="H121" s="2">
        <v>200</v>
      </c>
    </row>
    <row r="122" spans="1:8">
      <c r="A122" s="2" t="s">
        <v>298</v>
      </c>
      <c r="B122" s="2" t="s">
        <v>240</v>
      </c>
      <c r="C122" s="2" t="s">
        <v>420</v>
      </c>
      <c r="D122" s="2">
        <v>9</v>
      </c>
      <c r="E122" s="2" t="s">
        <v>421</v>
      </c>
      <c r="F122" s="5">
        <v>46230</v>
      </c>
      <c r="G122" s="2" t="s">
        <v>304</v>
      </c>
      <c r="H122" s="2">
        <v>200</v>
      </c>
    </row>
    <row r="123" spans="1:8">
      <c r="A123" s="2" t="s">
        <v>298</v>
      </c>
      <c r="B123" s="2" t="s">
        <v>240</v>
      </c>
      <c r="C123" s="2" t="s">
        <v>436</v>
      </c>
      <c r="D123" s="2">
        <v>6</v>
      </c>
      <c r="E123" s="2" t="s">
        <v>464</v>
      </c>
      <c r="F123" s="5">
        <v>46230</v>
      </c>
      <c r="G123" s="2" t="s">
        <v>304</v>
      </c>
      <c r="H123" s="2">
        <v>200</v>
      </c>
    </row>
    <row r="124" spans="1:8">
      <c r="A124" s="2" t="s">
        <v>298</v>
      </c>
      <c r="B124" s="2" t="s">
        <v>240</v>
      </c>
      <c r="C124" s="2" t="s">
        <v>440</v>
      </c>
      <c r="D124" s="2">
        <v>0</v>
      </c>
      <c r="E124" s="2" t="s">
        <v>448</v>
      </c>
      <c r="F124" s="5">
        <v>46230</v>
      </c>
      <c r="G124" s="2" t="s">
        <v>304</v>
      </c>
      <c r="H124" s="2">
        <v>200</v>
      </c>
    </row>
    <row r="125" spans="1:8">
      <c r="A125" s="2" t="s">
        <v>298</v>
      </c>
      <c r="B125" s="2" t="s">
        <v>240</v>
      </c>
      <c r="C125" s="2" t="s">
        <v>434</v>
      </c>
      <c r="D125" s="2">
        <v>3</v>
      </c>
      <c r="E125" s="2" t="s">
        <v>435</v>
      </c>
      <c r="F125" s="5">
        <v>46230</v>
      </c>
      <c r="G125" s="2" t="s">
        <v>304</v>
      </c>
      <c r="H125" s="2">
        <v>200</v>
      </c>
    </row>
    <row r="126" spans="1:8">
      <c r="A126" s="2" t="s">
        <v>306</v>
      </c>
      <c r="B126" s="2" t="s">
        <v>240</v>
      </c>
      <c r="C126" s="2" t="s">
        <v>418</v>
      </c>
      <c r="D126" s="2">
        <v>8</v>
      </c>
      <c r="E126" s="2" t="s">
        <v>465</v>
      </c>
      <c r="F126" s="5">
        <v>46230</v>
      </c>
      <c r="G126" s="2" t="s">
        <v>312</v>
      </c>
      <c r="H126" s="2">
        <v>200</v>
      </c>
    </row>
    <row r="127" spans="1:8">
      <c r="A127" s="2" t="s">
        <v>306</v>
      </c>
      <c r="B127" s="2" t="s">
        <v>240</v>
      </c>
      <c r="C127" s="2" t="s">
        <v>414</v>
      </c>
      <c r="D127" s="2">
        <v>10</v>
      </c>
      <c r="E127" s="2" t="s">
        <v>466</v>
      </c>
      <c r="F127" s="5">
        <v>46230</v>
      </c>
      <c r="G127" s="2" t="s">
        <v>312</v>
      </c>
      <c r="H127" s="2">
        <v>200</v>
      </c>
    </row>
    <row r="128" spans="1:8">
      <c r="A128" s="2" t="s">
        <v>306</v>
      </c>
      <c r="B128" s="2" t="s">
        <v>240</v>
      </c>
      <c r="C128" s="2" t="s">
        <v>424</v>
      </c>
      <c r="D128" s="2">
        <v>10</v>
      </c>
      <c r="E128" s="2" t="s">
        <v>425</v>
      </c>
      <c r="F128" s="5">
        <v>46230</v>
      </c>
      <c r="G128" s="2" t="s">
        <v>312</v>
      </c>
      <c r="H128" s="2">
        <v>200</v>
      </c>
    </row>
    <row r="129" spans="1:8">
      <c r="A129" s="2" t="s">
        <v>306</v>
      </c>
      <c r="B129" s="2" t="s">
        <v>240</v>
      </c>
      <c r="C129" s="2" t="s">
        <v>428</v>
      </c>
      <c r="D129" s="2">
        <v>10</v>
      </c>
      <c r="E129" s="2" t="s">
        <v>429</v>
      </c>
      <c r="F129" s="5">
        <v>46230</v>
      </c>
      <c r="G129" s="2" t="s">
        <v>312</v>
      </c>
      <c r="H129" s="2">
        <v>200</v>
      </c>
    </row>
    <row r="130" spans="1:8">
      <c r="A130" s="2" t="s">
        <v>306</v>
      </c>
      <c r="B130" s="2" t="s">
        <v>240</v>
      </c>
      <c r="C130" s="2" t="s">
        <v>420</v>
      </c>
      <c r="D130" s="2">
        <v>10</v>
      </c>
      <c r="E130" s="2" t="s">
        <v>421</v>
      </c>
      <c r="F130" s="5">
        <v>46230</v>
      </c>
      <c r="G130" s="2" t="s">
        <v>312</v>
      </c>
      <c r="H130" s="2">
        <v>200</v>
      </c>
    </row>
    <row r="131" spans="1:8">
      <c r="A131" s="2" t="s">
        <v>306</v>
      </c>
      <c r="B131" s="2" t="s">
        <v>240</v>
      </c>
      <c r="C131" s="2" t="s">
        <v>426</v>
      </c>
      <c r="D131" s="2">
        <v>10</v>
      </c>
      <c r="E131" s="2" t="s">
        <v>457</v>
      </c>
      <c r="F131" s="5">
        <v>46230</v>
      </c>
      <c r="G131" s="2" t="s">
        <v>312</v>
      </c>
      <c r="H131" s="2">
        <v>200</v>
      </c>
    </row>
    <row r="132" spans="1:8">
      <c r="A132" s="2" t="s">
        <v>306</v>
      </c>
      <c r="B132" s="2" t="s">
        <v>240</v>
      </c>
      <c r="C132" s="2" t="s">
        <v>432</v>
      </c>
      <c r="D132" s="2">
        <v>5</v>
      </c>
      <c r="E132" s="2" t="s">
        <v>467</v>
      </c>
      <c r="F132" s="5">
        <v>46230</v>
      </c>
      <c r="G132" s="2" t="s">
        <v>312</v>
      </c>
      <c r="H132" s="2">
        <v>200</v>
      </c>
    </row>
    <row r="133" spans="1:8">
      <c r="A133" s="2" t="s">
        <v>306</v>
      </c>
      <c r="B133" s="2" t="s">
        <v>240</v>
      </c>
      <c r="C133" s="2" t="s">
        <v>416</v>
      </c>
      <c r="D133" s="2">
        <v>0</v>
      </c>
      <c r="E133" s="2" t="s">
        <v>417</v>
      </c>
      <c r="F133" s="5">
        <v>46230</v>
      </c>
      <c r="G133" s="2" t="s">
        <v>312</v>
      </c>
      <c r="H133" s="2">
        <v>200</v>
      </c>
    </row>
    <row r="134" spans="1:8">
      <c r="A134" s="2" t="s">
        <v>306</v>
      </c>
      <c r="B134" s="2" t="s">
        <v>240</v>
      </c>
      <c r="C134" s="2" t="s">
        <v>430</v>
      </c>
      <c r="D134" s="2">
        <v>10</v>
      </c>
      <c r="E134" s="2" t="s">
        <v>431</v>
      </c>
      <c r="F134" s="5">
        <v>46230</v>
      </c>
      <c r="G134" s="2" t="s">
        <v>312</v>
      </c>
      <c r="H134" s="2">
        <v>200</v>
      </c>
    </row>
    <row r="135" spans="1:8">
      <c r="A135" s="2" t="s">
        <v>306</v>
      </c>
      <c r="B135" s="2" t="s">
        <v>240</v>
      </c>
      <c r="C135" s="2" t="s">
        <v>438</v>
      </c>
      <c r="D135" s="2">
        <v>10</v>
      </c>
      <c r="E135" s="2" t="s">
        <v>463</v>
      </c>
      <c r="F135" s="5">
        <v>46230</v>
      </c>
      <c r="G135" s="2" t="s">
        <v>312</v>
      </c>
      <c r="H135" s="2">
        <v>200</v>
      </c>
    </row>
    <row r="136" spans="1:8">
      <c r="A136" s="2" t="s">
        <v>306</v>
      </c>
      <c r="B136" s="2" t="s">
        <v>240</v>
      </c>
      <c r="C136" s="2" t="s">
        <v>436</v>
      </c>
      <c r="D136" s="2">
        <v>0</v>
      </c>
      <c r="E136" s="2" t="s">
        <v>468</v>
      </c>
      <c r="F136" s="5">
        <v>46230</v>
      </c>
      <c r="G136" s="2" t="s">
        <v>312</v>
      </c>
      <c r="H136" s="2">
        <v>200</v>
      </c>
    </row>
    <row r="137" spans="1:8">
      <c r="A137" s="2" t="s">
        <v>306</v>
      </c>
      <c r="B137" s="2" t="s">
        <v>240</v>
      </c>
      <c r="C137" s="2" t="s">
        <v>434</v>
      </c>
      <c r="D137" s="2">
        <v>-1</v>
      </c>
      <c r="E137" s="2" t="s">
        <v>451</v>
      </c>
      <c r="F137" s="5">
        <v>46230</v>
      </c>
      <c r="G137" s="2" t="s">
        <v>312</v>
      </c>
      <c r="H137" s="2">
        <v>200</v>
      </c>
    </row>
    <row r="138" spans="1:8">
      <c r="A138" s="2" t="s">
        <v>306</v>
      </c>
      <c r="B138" s="2" t="s">
        <v>240</v>
      </c>
      <c r="C138" s="2" t="s">
        <v>422</v>
      </c>
      <c r="D138" s="2">
        <v>10</v>
      </c>
      <c r="E138" s="2" t="s">
        <v>447</v>
      </c>
      <c r="F138" s="5">
        <v>46230</v>
      </c>
      <c r="G138" s="2" t="s">
        <v>312</v>
      </c>
      <c r="H138" s="2">
        <v>200</v>
      </c>
    </row>
    <row r="139" spans="1:8">
      <c r="A139" s="2" t="s">
        <v>306</v>
      </c>
      <c r="B139" s="2" t="s">
        <v>240</v>
      </c>
      <c r="C139" s="2" t="s">
        <v>440</v>
      </c>
      <c r="D139" s="2">
        <v>10</v>
      </c>
      <c r="E139" s="2" t="s">
        <v>441</v>
      </c>
      <c r="F139" s="5">
        <v>46230</v>
      </c>
      <c r="G139" s="2" t="s">
        <v>312</v>
      </c>
      <c r="H139" s="2">
        <v>200</v>
      </c>
    </row>
    <row r="140" spans="1:8">
      <c r="A140" s="2" t="s">
        <v>313</v>
      </c>
      <c r="B140" s="2" t="s">
        <v>240</v>
      </c>
      <c r="C140" s="2" t="s">
        <v>418</v>
      </c>
      <c r="D140" s="2">
        <v>7</v>
      </c>
      <c r="E140" s="2" t="s">
        <v>469</v>
      </c>
      <c r="F140" s="5">
        <v>46230</v>
      </c>
      <c r="G140" s="2" t="s">
        <v>318</v>
      </c>
      <c r="H140" s="2">
        <v>200</v>
      </c>
    </row>
    <row r="141" spans="1:8">
      <c r="A141" s="2" t="s">
        <v>313</v>
      </c>
      <c r="B141" s="2" t="s">
        <v>240</v>
      </c>
      <c r="C141" s="2" t="s">
        <v>414</v>
      </c>
      <c r="D141" s="2">
        <v>10</v>
      </c>
      <c r="E141" s="2" t="s">
        <v>470</v>
      </c>
      <c r="F141" s="5">
        <v>46230</v>
      </c>
      <c r="G141" s="2" t="s">
        <v>318</v>
      </c>
      <c r="H141" s="2">
        <v>200</v>
      </c>
    </row>
    <row r="142" spans="1:8">
      <c r="A142" s="2" t="s">
        <v>313</v>
      </c>
      <c r="B142" s="2" t="s">
        <v>240</v>
      </c>
      <c r="C142" s="2" t="s">
        <v>416</v>
      </c>
      <c r="D142" s="2">
        <v>0</v>
      </c>
      <c r="E142" s="2" t="s">
        <v>417</v>
      </c>
      <c r="F142" s="5">
        <v>46230</v>
      </c>
      <c r="G142" s="2" t="s">
        <v>318</v>
      </c>
      <c r="H142" s="2">
        <v>200</v>
      </c>
    </row>
    <row r="143" spans="1:8">
      <c r="A143" s="2" t="s">
        <v>313</v>
      </c>
      <c r="B143" s="2" t="s">
        <v>240</v>
      </c>
      <c r="C143" s="2" t="s">
        <v>424</v>
      </c>
      <c r="D143" s="2">
        <v>10</v>
      </c>
      <c r="E143" s="2" t="s">
        <v>425</v>
      </c>
      <c r="F143" s="5">
        <v>46230</v>
      </c>
      <c r="G143" s="2" t="s">
        <v>318</v>
      </c>
      <c r="H143" s="2">
        <v>200</v>
      </c>
    </row>
    <row r="144" spans="1:8">
      <c r="A144" s="2" t="s">
        <v>313</v>
      </c>
      <c r="B144" s="2" t="s">
        <v>240</v>
      </c>
      <c r="C144" s="2" t="s">
        <v>428</v>
      </c>
      <c r="D144" s="2">
        <v>10</v>
      </c>
      <c r="E144" s="2" t="s">
        <v>429</v>
      </c>
      <c r="F144" s="5">
        <v>46230</v>
      </c>
      <c r="G144" s="2" t="s">
        <v>318</v>
      </c>
      <c r="H144" s="2">
        <v>200</v>
      </c>
    </row>
    <row r="145" spans="1:8">
      <c r="A145" s="2" t="s">
        <v>313</v>
      </c>
      <c r="B145" s="2" t="s">
        <v>240</v>
      </c>
      <c r="C145" s="2" t="s">
        <v>426</v>
      </c>
      <c r="D145" s="2">
        <v>0</v>
      </c>
      <c r="E145" s="2" t="s">
        <v>427</v>
      </c>
      <c r="F145" s="5">
        <v>46230</v>
      </c>
      <c r="G145" s="2" t="s">
        <v>318</v>
      </c>
      <c r="H145" s="2">
        <v>200</v>
      </c>
    </row>
    <row r="146" spans="1:8">
      <c r="A146" s="2" t="s">
        <v>313</v>
      </c>
      <c r="B146" s="2" t="s">
        <v>240</v>
      </c>
      <c r="C146" s="2" t="s">
        <v>432</v>
      </c>
      <c r="D146" s="2">
        <v>8</v>
      </c>
      <c r="E146" s="2" t="s">
        <v>454</v>
      </c>
      <c r="F146" s="5">
        <v>46230</v>
      </c>
      <c r="G146" s="2" t="s">
        <v>318</v>
      </c>
      <c r="H146" s="2">
        <v>200</v>
      </c>
    </row>
    <row r="147" spans="1:8">
      <c r="A147" s="2" t="s">
        <v>313</v>
      </c>
      <c r="B147" s="2" t="s">
        <v>240</v>
      </c>
      <c r="C147" s="2" t="s">
        <v>430</v>
      </c>
      <c r="D147" s="2">
        <v>10</v>
      </c>
      <c r="E147" s="2" t="s">
        <v>431</v>
      </c>
      <c r="F147" s="5">
        <v>46230</v>
      </c>
      <c r="G147" s="2" t="s">
        <v>318</v>
      </c>
      <c r="H147" s="2">
        <v>200</v>
      </c>
    </row>
    <row r="148" spans="1:8">
      <c r="A148" s="2" t="s">
        <v>313</v>
      </c>
      <c r="B148" s="2" t="s">
        <v>240</v>
      </c>
      <c r="C148" s="2" t="s">
        <v>438</v>
      </c>
      <c r="D148" s="2">
        <v>10</v>
      </c>
      <c r="E148" s="2" t="s">
        <v>463</v>
      </c>
      <c r="F148" s="5">
        <v>46230</v>
      </c>
      <c r="G148" s="2" t="s">
        <v>318</v>
      </c>
      <c r="H148" s="2">
        <v>200</v>
      </c>
    </row>
    <row r="149" spans="1:8">
      <c r="A149" s="2" t="s">
        <v>313</v>
      </c>
      <c r="B149" s="2" t="s">
        <v>240</v>
      </c>
      <c r="C149" s="2" t="s">
        <v>436</v>
      </c>
      <c r="D149" s="2">
        <v>-1</v>
      </c>
      <c r="E149" s="2" t="s">
        <v>437</v>
      </c>
      <c r="F149" s="5">
        <v>46230</v>
      </c>
      <c r="G149" s="2" t="s">
        <v>318</v>
      </c>
      <c r="H149" s="2">
        <v>200</v>
      </c>
    </row>
    <row r="150" spans="1:8">
      <c r="A150" s="2" t="s">
        <v>313</v>
      </c>
      <c r="B150" s="2" t="s">
        <v>240</v>
      </c>
      <c r="C150" s="2" t="s">
        <v>420</v>
      </c>
      <c r="D150" s="2">
        <v>10</v>
      </c>
      <c r="E150" s="2" t="s">
        <v>421</v>
      </c>
      <c r="F150" s="5">
        <v>46230</v>
      </c>
      <c r="G150" s="2" t="s">
        <v>318</v>
      </c>
      <c r="H150" s="2">
        <v>200</v>
      </c>
    </row>
    <row r="151" spans="1:8">
      <c r="A151" s="2" t="s">
        <v>313</v>
      </c>
      <c r="B151" s="2" t="s">
        <v>240</v>
      </c>
      <c r="C151" s="2" t="s">
        <v>434</v>
      </c>
      <c r="D151" s="2">
        <v>3</v>
      </c>
      <c r="E151" s="2" t="s">
        <v>435</v>
      </c>
      <c r="F151" s="5">
        <v>46230</v>
      </c>
      <c r="G151" s="2" t="s">
        <v>318</v>
      </c>
      <c r="H151" s="2">
        <v>200</v>
      </c>
    </row>
    <row r="152" spans="1:8">
      <c r="A152" s="2" t="s">
        <v>313</v>
      </c>
      <c r="B152" s="2" t="s">
        <v>240</v>
      </c>
      <c r="C152" s="2" t="s">
        <v>422</v>
      </c>
      <c r="D152" s="2">
        <v>10</v>
      </c>
      <c r="E152" s="2" t="s">
        <v>447</v>
      </c>
      <c r="F152" s="5">
        <v>46230</v>
      </c>
      <c r="G152" s="2" t="s">
        <v>318</v>
      </c>
      <c r="H152" s="2">
        <v>200</v>
      </c>
    </row>
    <row r="153" spans="1:8">
      <c r="A153" s="2" t="s">
        <v>313</v>
      </c>
      <c r="B153" s="2" t="s">
        <v>240</v>
      </c>
      <c r="C153" s="2" t="s">
        <v>440</v>
      </c>
      <c r="D153" s="2">
        <v>0</v>
      </c>
      <c r="E153" s="2" t="s">
        <v>448</v>
      </c>
      <c r="F153" s="5">
        <v>46230</v>
      </c>
      <c r="G153" s="2" t="s">
        <v>318</v>
      </c>
      <c r="H153" s="2">
        <v>200</v>
      </c>
    </row>
    <row r="154" spans="1:8">
      <c r="A154" s="2" t="s">
        <v>319</v>
      </c>
      <c r="B154" s="2" t="s">
        <v>240</v>
      </c>
      <c r="C154" s="2" t="s">
        <v>411</v>
      </c>
      <c r="D154" s="2"/>
      <c r="E154" s="2" t="s">
        <v>412</v>
      </c>
      <c r="F154" s="5"/>
      <c r="G154" s="2" t="s">
        <v>324</v>
      </c>
      <c r="H154" s="2">
        <v>406</v>
      </c>
    </row>
    <row r="155" spans="1:8">
      <c r="A155" s="2" t="s">
        <v>325</v>
      </c>
      <c r="B155" s="2" t="s">
        <v>240</v>
      </c>
      <c r="C155" s="2" t="s">
        <v>420</v>
      </c>
      <c r="D155" s="2">
        <v>10</v>
      </c>
      <c r="E155" s="2" t="s">
        <v>421</v>
      </c>
      <c r="F155" s="5">
        <v>46230</v>
      </c>
      <c r="G155" s="2" t="s">
        <v>330</v>
      </c>
      <c r="H155" s="2">
        <v>200</v>
      </c>
    </row>
    <row r="156" spans="1:8">
      <c r="A156" s="2" t="s">
        <v>325</v>
      </c>
      <c r="B156" s="2" t="s">
        <v>240</v>
      </c>
      <c r="C156" s="2" t="s">
        <v>424</v>
      </c>
      <c r="D156" s="2">
        <v>10</v>
      </c>
      <c r="E156" s="2" t="s">
        <v>425</v>
      </c>
      <c r="F156" s="5">
        <v>46230</v>
      </c>
      <c r="G156" s="2" t="s">
        <v>330</v>
      </c>
      <c r="H156" s="2">
        <v>200</v>
      </c>
    </row>
    <row r="157" spans="1:8">
      <c r="A157" s="2" t="s">
        <v>325</v>
      </c>
      <c r="B157" s="2" t="s">
        <v>240</v>
      </c>
      <c r="C157" s="2" t="s">
        <v>414</v>
      </c>
      <c r="D157" s="2">
        <v>10</v>
      </c>
      <c r="E157" s="2" t="s">
        <v>471</v>
      </c>
      <c r="F157" s="5">
        <v>46230</v>
      </c>
      <c r="G157" s="2" t="s">
        <v>330</v>
      </c>
      <c r="H157" s="2">
        <v>200</v>
      </c>
    </row>
    <row r="158" spans="1:8">
      <c r="A158" s="2" t="s">
        <v>325</v>
      </c>
      <c r="B158" s="2" t="s">
        <v>240</v>
      </c>
      <c r="C158" s="2" t="s">
        <v>418</v>
      </c>
      <c r="D158" s="2">
        <v>10</v>
      </c>
      <c r="E158" s="2" t="s">
        <v>442</v>
      </c>
      <c r="F158" s="5">
        <v>46230</v>
      </c>
      <c r="G158" s="2" t="s">
        <v>330</v>
      </c>
      <c r="H158" s="2">
        <v>200</v>
      </c>
    </row>
    <row r="159" spans="1:8">
      <c r="A159" s="2" t="s">
        <v>325</v>
      </c>
      <c r="B159" s="2" t="s">
        <v>240</v>
      </c>
      <c r="C159" s="2" t="s">
        <v>426</v>
      </c>
      <c r="D159" s="2">
        <v>0</v>
      </c>
      <c r="E159" s="2" t="s">
        <v>427</v>
      </c>
      <c r="F159" s="5">
        <v>46230</v>
      </c>
      <c r="G159" s="2" t="s">
        <v>330</v>
      </c>
      <c r="H159" s="2">
        <v>200</v>
      </c>
    </row>
    <row r="160" spans="1:8">
      <c r="A160" s="2" t="s">
        <v>325</v>
      </c>
      <c r="B160" s="2" t="s">
        <v>240</v>
      </c>
      <c r="C160" s="2" t="s">
        <v>416</v>
      </c>
      <c r="D160" s="2">
        <v>0</v>
      </c>
      <c r="E160" s="2" t="s">
        <v>417</v>
      </c>
      <c r="F160" s="5">
        <v>46230</v>
      </c>
      <c r="G160" s="2" t="s">
        <v>330</v>
      </c>
      <c r="H160" s="2">
        <v>200</v>
      </c>
    </row>
    <row r="161" spans="1:8">
      <c r="A161" s="2" t="s">
        <v>325</v>
      </c>
      <c r="B161" s="2" t="s">
        <v>240</v>
      </c>
      <c r="C161" s="2" t="s">
        <v>428</v>
      </c>
      <c r="D161" s="2">
        <v>10</v>
      </c>
      <c r="E161" s="2" t="s">
        <v>429</v>
      </c>
      <c r="F161" s="5">
        <v>46230</v>
      </c>
      <c r="G161" s="2" t="s">
        <v>330</v>
      </c>
      <c r="H161" s="2">
        <v>200</v>
      </c>
    </row>
    <row r="162" spans="1:8">
      <c r="A162" s="2" t="s">
        <v>325</v>
      </c>
      <c r="B162" s="2" t="s">
        <v>240</v>
      </c>
      <c r="C162" s="2" t="s">
        <v>432</v>
      </c>
      <c r="D162" s="2">
        <v>0</v>
      </c>
      <c r="E162" s="2" t="s">
        <v>433</v>
      </c>
      <c r="F162" s="5">
        <v>46230</v>
      </c>
      <c r="G162" s="2" t="s">
        <v>330</v>
      </c>
      <c r="H162" s="2">
        <v>200</v>
      </c>
    </row>
    <row r="163" spans="1:8">
      <c r="A163" s="2" t="s">
        <v>325</v>
      </c>
      <c r="B163" s="2" t="s">
        <v>240</v>
      </c>
      <c r="C163" s="2" t="s">
        <v>430</v>
      </c>
      <c r="D163" s="2">
        <v>10</v>
      </c>
      <c r="E163" s="2" t="s">
        <v>431</v>
      </c>
      <c r="F163" s="5">
        <v>46230</v>
      </c>
      <c r="G163" s="2" t="s">
        <v>330</v>
      </c>
      <c r="H163" s="2">
        <v>200</v>
      </c>
    </row>
    <row r="164" spans="1:8">
      <c r="A164" s="2" t="s">
        <v>325</v>
      </c>
      <c r="B164" s="2" t="s">
        <v>240</v>
      </c>
      <c r="C164" s="2" t="s">
        <v>438</v>
      </c>
      <c r="D164" s="2">
        <v>0</v>
      </c>
      <c r="E164" s="2" t="s">
        <v>439</v>
      </c>
      <c r="F164" s="5">
        <v>46230</v>
      </c>
      <c r="G164" s="2" t="s">
        <v>330</v>
      </c>
      <c r="H164" s="2">
        <v>200</v>
      </c>
    </row>
    <row r="165" spans="1:8">
      <c r="A165" s="2" t="s">
        <v>325</v>
      </c>
      <c r="B165" s="2" t="s">
        <v>240</v>
      </c>
      <c r="C165" s="2" t="s">
        <v>436</v>
      </c>
      <c r="D165" s="2">
        <v>-1</v>
      </c>
      <c r="E165" s="2" t="s">
        <v>437</v>
      </c>
      <c r="F165" s="5">
        <v>46230</v>
      </c>
      <c r="G165" s="2" t="s">
        <v>330</v>
      </c>
      <c r="H165" s="2">
        <v>200</v>
      </c>
    </row>
    <row r="166" spans="1:8">
      <c r="A166" s="2" t="s">
        <v>325</v>
      </c>
      <c r="B166" s="2" t="s">
        <v>240</v>
      </c>
      <c r="C166" s="2" t="s">
        <v>434</v>
      </c>
      <c r="D166" s="2">
        <v>0</v>
      </c>
      <c r="E166" s="2" t="s">
        <v>472</v>
      </c>
      <c r="F166" s="5">
        <v>46230</v>
      </c>
      <c r="G166" s="2" t="s">
        <v>330</v>
      </c>
      <c r="H166" s="2">
        <v>200</v>
      </c>
    </row>
    <row r="167" spans="1:8">
      <c r="A167" s="2" t="s">
        <v>325</v>
      </c>
      <c r="B167" s="2" t="s">
        <v>240</v>
      </c>
      <c r="C167" s="2" t="s">
        <v>422</v>
      </c>
      <c r="D167" s="2">
        <v>10</v>
      </c>
      <c r="E167" s="2" t="s">
        <v>447</v>
      </c>
      <c r="F167" s="5">
        <v>46230</v>
      </c>
      <c r="G167" s="2" t="s">
        <v>330</v>
      </c>
      <c r="H167" s="2">
        <v>200</v>
      </c>
    </row>
    <row r="168" spans="1:8">
      <c r="A168" s="2" t="s">
        <v>325</v>
      </c>
      <c r="B168" s="2" t="s">
        <v>240</v>
      </c>
      <c r="C168" s="2" t="s">
        <v>440</v>
      </c>
      <c r="D168" s="2">
        <v>0</v>
      </c>
      <c r="E168" s="2" t="s">
        <v>448</v>
      </c>
      <c r="F168" s="5">
        <v>46230</v>
      </c>
      <c r="G168" s="2" t="s">
        <v>330</v>
      </c>
      <c r="H168" s="2">
        <v>200</v>
      </c>
    </row>
    <row r="169" spans="1:8">
      <c r="A169" s="2" t="s">
        <v>331</v>
      </c>
      <c r="B169" s="2" t="s">
        <v>240</v>
      </c>
      <c r="C169" s="2" t="s">
        <v>418</v>
      </c>
      <c r="D169" s="2">
        <v>7</v>
      </c>
      <c r="E169" s="2" t="s">
        <v>473</v>
      </c>
      <c r="F169" s="5">
        <v>46230</v>
      </c>
      <c r="G169" s="2" t="s">
        <v>337</v>
      </c>
      <c r="H169" s="2">
        <v>200</v>
      </c>
    </row>
    <row r="170" spans="1:8">
      <c r="A170" s="2" t="s">
        <v>331</v>
      </c>
      <c r="B170" s="2" t="s">
        <v>240</v>
      </c>
      <c r="C170" s="2" t="s">
        <v>414</v>
      </c>
      <c r="D170" s="2">
        <v>0</v>
      </c>
      <c r="E170" s="2" t="s">
        <v>474</v>
      </c>
      <c r="F170" s="5">
        <v>46230</v>
      </c>
      <c r="G170" s="2" t="s">
        <v>337</v>
      </c>
      <c r="H170" s="2">
        <v>200</v>
      </c>
    </row>
    <row r="171" spans="1:8">
      <c r="A171" s="2" t="s">
        <v>331</v>
      </c>
      <c r="B171" s="2" t="s">
        <v>240</v>
      </c>
      <c r="C171" s="2" t="s">
        <v>424</v>
      </c>
      <c r="D171" s="2">
        <v>10</v>
      </c>
      <c r="E171" s="2" t="s">
        <v>425</v>
      </c>
      <c r="F171" s="5">
        <v>46230</v>
      </c>
      <c r="G171" s="2" t="s">
        <v>337</v>
      </c>
      <c r="H171" s="2">
        <v>200</v>
      </c>
    </row>
    <row r="172" spans="1:8">
      <c r="A172" s="2" t="s">
        <v>331</v>
      </c>
      <c r="B172" s="2" t="s">
        <v>240</v>
      </c>
      <c r="C172" s="2" t="s">
        <v>428</v>
      </c>
      <c r="D172" s="2">
        <v>10</v>
      </c>
      <c r="E172" s="2" t="s">
        <v>429</v>
      </c>
      <c r="F172" s="5">
        <v>46230</v>
      </c>
      <c r="G172" s="2" t="s">
        <v>337</v>
      </c>
      <c r="H172" s="2">
        <v>200</v>
      </c>
    </row>
    <row r="173" spans="1:8">
      <c r="A173" s="2" t="s">
        <v>331</v>
      </c>
      <c r="B173" s="2" t="s">
        <v>240</v>
      </c>
      <c r="C173" s="2" t="s">
        <v>422</v>
      </c>
      <c r="D173" s="2">
        <v>-1</v>
      </c>
      <c r="E173" s="2" t="s">
        <v>423</v>
      </c>
      <c r="F173" s="5">
        <v>46230</v>
      </c>
      <c r="G173" s="2" t="s">
        <v>337</v>
      </c>
      <c r="H173" s="2">
        <v>200</v>
      </c>
    </row>
    <row r="174" spans="1:8">
      <c r="A174" s="2" t="s">
        <v>331</v>
      </c>
      <c r="B174" s="2" t="s">
        <v>240</v>
      </c>
      <c r="C174" s="2" t="s">
        <v>426</v>
      </c>
      <c r="D174" s="2">
        <v>0</v>
      </c>
      <c r="E174" s="2" t="s">
        <v>427</v>
      </c>
      <c r="F174" s="5">
        <v>46230</v>
      </c>
      <c r="G174" s="2" t="s">
        <v>337</v>
      </c>
      <c r="H174" s="2">
        <v>200</v>
      </c>
    </row>
    <row r="175" spans="1:8">
      <c r="A175" s="2" t="s">
        <v>331</v>
      </c>
      <c r="B175" s="2" t="s">
        <v>240</v>
      </c>
      <c r="C175" s="2" t="s">
        <v>416</v>
      </c>
      <c r="D175" s="2">
        <v>0</v>
      </c>
      <c r="E175" s="2" t="s">
        <v>417</v>
      </c>
      <c r="F175" s="5">
        <v>46230</v>
      </c>
      <c r="G175" s="2" t="s">
        <v>337</v>
      </c>
      <c r="H175" s="2">
        <v>200</v>
      </c>
    </row>
    <row r="176" spans="1:8">
      <c r="A176" s="2" t="s">
        <v>331</v>
      </c>
      <c r="B176" s="2" t="s">
        <v>240</v>
      </c>
      <c r="C176" s="2" t="s">
        <v>438</v>
      </c>
      <c r="D176" s="2">
        <v>0</v>
      </c>
      <c r="E176" s="2" t="s">
        <v>439</v>
      </c>
      <c r="F176" s="5">
        <v>46230</v>
      </c>
      <c r="G176" s="2" t="s">
        <v>337</v>
      </c>
      <c r="H176" s="2">
        <v>200</v>
      </c>
    </row>
    <row r="177" spans="1:8">
      <c r="A177" s="2" t="s">
        <v>331</v>
      </c>
      <c r="B177" s="2" t="s">
        <v>240</v>
      </c>
      <c r="C177" s="2" t="s">
        <v>430</v>
      </c>
      <c r="D177" s="2">
        <v>10</v>
      </c>
      <c r="E177" s="2" t="s">
        <v>431</v>
      </c>
      <c r="F177" s="5">
        <v>46230</v>
      </c>
      <c r="G177" s="2" t="s">
        <v>337</v>
      </c>
      <c r="H177" s="2">
        <v>200</v>
      </c>
    </row>
    <row r="178" spans="1:8">
      <c r="A178" s="2" t="s">
        <v>331</v>
      </c>
      <c r="B178" s="2" t="s">
        <v>240</v>
      </c>
      <c r="C178" s="2" t="s">
        <v>436</v>
      </c>
      <c r="D178" s="2">
        <v>-1</v>
      </c>
      <c r="E178" s="2" t="s">
        <v>437</v>
      </c>
      <c r="F178" s="5">
        <v>46230</v>
      </c>
      <c r="G178" s="2" t="s">
        <v>337</v>
      </c>
      <c r="H178" s="2">
        <v>200</v>
      </c>
    </row>
    <row r="179" spans="1:8">
      <c r="A179" s="2" t="s">
        <v>331</v>
      </c>
      <c r="B179" s="2" t="s">
        <v>240</v>
      </c>
      <c r="C179" s="2" t="s">
        <v>432</v>
      </c>
      <c r="D179" s="2">
        <v>0</v>
      </c>
      <c r="E179" s="2" t="s">
        <v>433</v>
      </c>
      <c r="F179" s="5">
        <v>46230</v>
      </c>
      <c r="G179" s="2" t="s">
        <v>337</v>
      </c>
      <c r="H179" s="2">
        <v>200</v>
      </c>
    </row>
    <row r="180" spans="1:8">
      <c r="A180" s="2" t="s">
        <v>331</v>
      </c>
      <c r="B180" s="2" t="s">
        <v>240</v>
      </c>
      <c r="C180" s="2" t="s">
        <v>434</v>
      </c>
      <c r="D180" s="2">
        <v>0</v>
      </c>
      <c r="E180" s="2" t="s">
        <v>472</v>
      </c>
      <c r="F180" s="5">
        <v>46230</v>
      </c>
      <c r="G180" s="2" t="s">
        <v>337</v>
      </c>
      <c r="H180" s="2">
        <v>200</v>
      </c>
    </row>
    <row r="181" spans="1:8">
      <c r="A181" s="2" t="s">
        <v>331</v>
      </c>
      <c r="B181" s="2" t="s">
        <v>240</v>
      </c>
      <c r="C181" s="2" t="s">
        <v>420</v>
      </c>
      <c r="D181" s="2">
        <v>0</v>
      </c>
      <c r="E181" s="2" t="s">
        <v>446</v>
      </c>
      <c r="F181" s="5">
        <v>46230</v>
      </c>
      <c r="G181" s="2" t="s">
        <v>337</v>
      </c>
      <c r="H181" s="2">
        <v>200</v>
      </c>
    </row>
    <row r="182" spans="1:8">
      <c r="A182" s="2" t="s">
        <v>331</v>
      </c>
      <c r="B182" s="2" t="s">
        <v>240</v>
      </c>
      <c r="C182" s="2" t="s">
        <v>440</v>
      </c>
      <c r="D182" s="2">
        <v>0</v>
      </c>
      <c r="E182" s="2" t="s">
        <v>448</v>
      </c>
      <c r="F182" s="5">
        <v>46230</v>
      </c>
      <c r="G182" s="2" t="s">
        <v>337</v>
      </c>
      <c r="H182" s="2">
        <v>200</v>
      </c>
    </row>
    <row r="183" spans="1:8">
      <c r="A183" s="2" t="s">
        <v>338</v>
      </c>
      <c r="B183" s="2" t="s">
        <v>240</v>
      </c>
      <c r="C183" s="2" t="s">
        <v>414</v>
      </c>
      <c r="D183" s="2">
        <v>10</v>
      </c>
      <c r="E183" s="2" t="s">
        <v>475</v>
      </c>
      <c r="F183" s="5">
        <v>46230</v>
      </c>
      <c r="G183" s="2" t="s">
        <v>344</v>
      </c>
      <c r="H183" s="2">
        <v>200</v>
      </c>
    </row>
    <row r="184" spans="1:8">
      <c r="A184" s="2" t="s">
        <v>338</v>
      </c>
      <c r="B184" s="2" t="s">
        <v>240</v>
      </c>
      <c r="C184" s="2" t="s">
        <v>420</v>
      </c>
      <c r="D184" s="2">
        <v>10</v>
      </c>
      <c r="E184" s="2" t="s">
        <v>421</v>
      </c>
      <c r="F184" s="5">
        <v>46230</v>
      </c>
      <c r="G184" s="2" t="s">
        <v>344</v>
      </c>
      <c r="H184" s="2">
        <v>200</v>
      </c>
    </row>
    <row r="185" spans="1:8">
      <c r="A185" s="2" t="s">
        <v>338</v>
      </c>
      <c r="B185" s="2" t="s">
        <v>240</v>
      </c>
      <c r="C185" s="2" t="s">
        <v>424</v>
      </c>
      <c r="D185" s="2">
        <v>10</v>
      </c>
      <c r="E185" s="2" t="s">
        <v>425</v>
      </c>
      <c r="F185" s="5">
        <v>46230</v>
      </c>
      <c r="G185" s="2" t="s">
        <v>344</v>
      </c>
      <c r="H185" s="2">
        <v>200</v>
      </c>
    </row>
    <row r="186" spans="1:8">
      <c r="A186" s="2" t="s">
        <v>338</v>
      </c>
      <c r="B186" s="2" t="s">
        <v>240</v>
      </c>
      <c r="C186" s="2" t="s">
        <v>418</v>
      </c>
      <c r="D186" s="2">
        <v>3</v>
      </c>
      <c r="E186" s="2" t="s">
        <v>476</v>
      </c>
      <c r="F186" s="5">
        <v>46230</v>
      </c>
      <c r="G186" s="2" t="s">
        <v>344</v>
      </c>
      <c r="H186" s="2">
        <v>200</v>
      </c>
    </row>
    <row r="187" spans="1:8">
      <c r="A187" s="2" t="s">
        <v>338</v>
      </c>
      <c r="B187" s="2" t="s">
        <v>240</v>
      </c>
      <c r="C187" s="2" t="s">
        <v>422</v>
      </c>
      <c r="D187" s="2">
        <v>-1</v>
      </c>
      <c r="E187" s="2" t="s">
        <v>423</v>
      </c>
      <c r="F187" s="5">
        <v>46230</v>
      </c>
      <c r="G187" s="2" t="s">
        <v>344</v>
      </c>
      <c r="H187" s="2">
        <v>200</v>
      </c>
    </row>
    <row r="188" spans="1:8">
      <c r="A188" s="2" t="s">
        <v>338</v>
      </c>
      <c r="B188" s="2" t="s">
        <v>240</v>
      </c>
      <c r="C188" s="2" t="s">
        <v>428</v>
      </c>
      <c r="D188" s="2">
        <v>10</v>
      </c>
      <c r="E188" s="2" t="s">
        <v>429</v>
      </c>
      <c r="F188" s="5">
        <v>46230</v>
      </c>
      <c r="G188" s="2" t="s">
        <v>344</v>
      </c>
      <c r="H188" s="2">
        <v>200</v>
      </c>
    </row>
    <row r="189" spans="1:8">
      <c r="A189" s="2" t="s">
        <v>338</v>
      </c>
      <c r="B189" s="2" t="s">
        <v>240</v>
      </c>
      <c r="C189" s="2" t="s">
        <v>426</v>
      </c>
      <c r="D189" s="2">
        <v>0</v>
      </c>
      <c r="E189" s="2" t="s">
        <v>427</v>
      </c>
      <c r="F189" s="5">
        <v>46230</v>
      </c>
      <c r="G189" s="2" t="s">
        <v>344</v>
      </c>
      <c r="H189" s="2">
        <v>200</v>
      </c>
    </row>
    <row r="190" spans="1:8">
      <c r="A190" s="2" t="s">
        <v>338</v>
      </c>
      <c r="B190" s="2" t="s">
        <v>240</v>
      </c>
      <c r="C190" s="2" t="s">
        <v>416</v>
      </c>
      <c r="D190" s="2">
        <v>7</v>
      </c>
      <c r="E190" s="2" t="s">
        <v>477</v>
      </c>
      <c r="F190" s="5">
        <v>46230</v>
      </c>
      <c r="G190" s="2" t="s">
        <v>344</v>
      </c>
      <c r="H190" s="2">
        <v>200</v>
      </c>
    </row>
    <row r="191" spans="1:8">
      <c r="A191" s="2" t="s">
        <v>338</v>
      </c>
      <c r="B191" s="2" t="s">
        <v>240</v>
      </c>
      <c r="C191" s="2" t="s">
        <v>438</v>
      </c>
      <c r="D191" s="2">
        <v>0</v>
      </c>
      <c r="E191" s="2" t="s">
        <v>439</v>
      </c>
      <c r="F191" s="5">
        <v>46230</v>
      </c>
      <c r="G191" s="2" t="s">
        <v>344</v>
      </c>
      <c r="H191" s="2">
        <v>200</v>
      </c>
    </row>
    <row r="192" spans="1:8">
      <c r="A192" s="2" t="s">
        <v>338</v>
      </c>
      <c r="B192" s="2" t="s">
        <v>240</v>
      </c>
      <c r="C192" s="2" t="s">
        <v>430</v>
      </c>
      <c r="D192" s="2">
        <v>10</v>
      </c>
      <c r="E192" s="2" t="s">
        <v>431</v>
      </c>
      <c r="F192" s="5">
        <v>46230</v>
      </c>
      <c r="G192" s="2" t="s">
        <v>344</v>
      </c>
      <c r="H192" s="2">
        <v>200</v>
      </c>
    </row>
    <row r="193" spans="1:8">
      <c r="A193" s="2" t="s">
        <v>338</v>
      </c>
      <c r="B193" s="2" t="s">
        <v>240</v>
      </c>
      <c r="C193" s="2" t="s">
        <v>436</v>
      </c>
      <c r="D193" s="2">
        <v>-1</v>
      </c>
      <c r="E193" s="2" t="s">
        <v>437</v>
      </c>
      <c r="F193" s="5">
        <v>46230</v>
      </c>
      <c r="G193" s="2" t="s">
        <v>344</v>
      </c>
      <c r="H193" s="2">
        <v>200</v>
      </c>
    </row>
    <row r="194" spans="1:8">
      <c r="A194" s="2" t="s">
        <v>338</v>
      </c>
      <c r="B194" s="2" t="s">
        <v>240</v>
      </c>
      <c r="C194" s="2" t="s">
        <v>434</v>
      </c>
      <c r="D194" s="2">
        <v>-1</v>
      </c>
      <c r="E194" s="2" t="s">
        <v>451</v>
      </c>
      <c r="F194" s="5">
        <v>46230</v>
      </c>
      <c r="G194" s="2" t="s">
        <v>344</v>
      </c>
      <c r="H194" s="2">
        <v>200</v>
      </c>
    </row>
    <row r="195" spans="1:8">
      <c r="A195" s="2" t="s">
        <v>338</v>
      </c>
      <c r="B195" s="2" t="s">
        <v>240</v>
      </c>
      <c r="C195" s="2" t="s">
        <v>432</v>
      </c>
      <c r="D195" s="2">
        <v>0</v>
      </c>
      <c r="E195" s="2" t="s">
        <v>433</v>
      </c>
      <c r="F195" s="5">
        <v>46230</v>
      </c>
      <c r="G195" s="2" t="s">
        <v>344</v>
      </c>
      <c r="H195" s="2">
        <v>200</v>
      </c>
    </row>
    <row r="196" spans="1:8">
      <c r="A196" s="2" t="s">
        <v>338</v>
      </c>
      <c r="B196" s="2" t="s">
        <v>240</v>
      </c>
      <c r="C196" s="2" t="s">
        <v>440</v>
      </c>
      <c r="D196" s="2">
        <v>10</v>
      </c>
      <c r="E196" s="2" t="s">
        <v>441</v>
      </c>
      <c r="F196" s="5">
        <v>46230</v>
      </c>
      <c r="G196" s="2" t="s">
        <v>344</v>
      </c>
      <c r="H196" s="2">
        <v>200</v>
      </c>
    </row>
    <row r="197" spans="1:8">
      <c r="A197" s="2" t="s">
        <v>345</v>
      </c>
      <c r="B197" s="2" t="s">
        <v>240</v>
      </c>
      <c r="C197" s="2" t="s">
        <v>478</v>
      </c>
      <c r="D197" s="2">
        <v>10</v>
      </c>
      <c r="E197" s="2" t="s">
        <v>479</v>
      </c>
      <c r="F197" s="5">
        <v>46233.654074074075</v>
      </c>
      <c r="G197" s="2" t="s">
        <v>350</v>
      </c>
      <c r="H197" s="2">
        <v>200</v>
      </c>
    </row>
    <row r="198" spans="1:8">
      <c r="A198" s="2" t="s">
        <v>345</v>
      </c>
      <c r="B198" s="2" t="s">
        <v>240</v>
      </c>
      <c r="C198" s="2" t="s">
        <v>418</v>
      </c>
      <c r="D198" s="2">
        <v>10</v>
      </c>
      <c r="E198" s="2" t="s">
        <v>442</v>
      </c>
      <c r="F198" s="5">
        <v>46233.654074074075</v>
      </c>
      <c r="G198" s="2" t="s">
        <v>350</v>
      </c>
      <c r="H198" s="2">
        <v>200</v>
      </c>
    </row>
    <row r="199" spans="1:8">
      <c r="A199" s="2" t="s">
        <v>345</v>
      </c>
      <c r="B199" s="2" t="s">
        <v>240</v>
      </c>
      <c r="C199" s="2" t="s">
        <v>414</v>
      </c>
      <c r="D199" s="2">
        <v>10</v>
      </c>
      <c r="E199" s="2" t="s">
        <v>480</v>
      </c>
      <c r="F199" s="5">
        <v>46233.654074074075</v>
      </c>
      <c r="G199" s="2" t="s">
        <v>350</v>
      </c>
      <c r="H199" s="2">
        <v>200</v>
      </c>
    </row>
    <row r="200" spans="1:8">
      <c r="A200" s="2" t="s">
        <v>345</v>
      </c>
      <c r="B200" s="2" t="s">
        <v>240</v>
      </c>
      <c r="C200" s="2" t="s">
        <v>420</v>
      </c>
      <c r="D200" s="2">
        <v>10</v>
      </c>
      <c r="E200" s="2" t="s">
        <v>421</v>
      </c>
      <c r="F200" s="5">
        <v>46233.654074074075</v>
      </c>
      <c r="G200" s="2" t="s">
        <v>350</v>
      </c>
      <c r="H200" s="2">
        <v>200</v>
      </c>
    </row>
    <row r="201" spans="1:8">
      <c r="A201" s="2" t="s">
        <v>345</v>
      </c>
      <c r="B201" s="2" t="s">
        <v>240</v>
      </c>
      <c r="C201" s="2" t="s">
        <v>426</v>
      </c>
      <c r="D201" s="2">
        <v>10</v>
      </c>
      <c r="E201" s="2" t="s">
        <v>457</v>
      </c>
      <c r="F201" s="5">
        <v>46233.654074074075</v>
      </c>
      <c r="G201" s="2" t="s">
        <v>350</v>
      </c>
      <c r="H201" s="2">
        <v>200</v>
      </c>
    </row>
    <row r="202" spans="1:8">
      <c r="A202" s="2" t="s">
        <v>345</v>
      </c>
      <c r="B202" s="2" t="s">
        <v>240</v>
      </c>
      <c r="C202" s="2" t="s">
        <v>424</v>
      </c>
      <c r="D202" s="2">
        <v>10</v>
      </c>
      <c r="E202" s="2" t="s">
        <v>425</v>
      </c>
      <c r="F202" s="5">
        <v>46233.654074074075</v>
      </c>
      <c r="G202" s="2" t="s">
        <v>350</v>
      </c>
      <c r="H202" s="2">
        <v>200</v>
      </c>
    </row>
    <row r="203" spans="1:8">
      <c r="A203" s="2" t="s">
        <v>345</v>
      </c>
      <c r="B203" s="2" t="s">
        <v>240</v>
      </c>
      <c r="C203" s="2" t="s">
        <v>422</v>
      </c>
      <c r="D203" s="2">
        <v>-1</v>
      </c>
      <c r="E203" s="2" t="s">
        <v>423</v>
      </c>
      <c r="F203" s="5">
        <v>46233.654074074075</v>
      </c>
      <c r="G203" s="2" t="s">
        <v>350</v>
      </c>
      <c r="H203" s="2">
        <v>200</v>
      </c>
    </row>
    <row r="204" spans="1:8">
      <c r="A204" s="2" t="s">
        <v>345</v>
      </c>
      <c r="B204" s="2" t="s">
        <v>240</v>
      </c>
      <c r="C204" s="2" t="s">
        <v>428</v>
      </c>
      <c r="D204" s="2">
        <v>10</v>
      </c>
      <c r="E204" s="2" t="s">
        <v>429</v>
      </c>
      <c r="F204" s="5">
        <v>46233.654074074075</v>
      </c>
      <c r="G204" s="2" t="s">
        <v>350</v>
      </c>
      <c r="H204" s="2">
        <v>200</v>
      </c>
    </row>
    <row r="205" spans="1:8">
      <c r="A205" s="2" t="s">
        <v>345</v>
      </c>
      <c r="B205" s="2" t="s">
        <v>240</v>
      </c>
      <c r="C205" s="2" t="s">
        <v>432</v>
      </c>
      <c r="D205" s="2">
        <v>7</v>
      </c>
      <c r="E205" s="2" t="s">
        <v>481</v>
      </c>
      <c r="F205" s="5">
        <v>46233.654074074075</v>
      </c>
      <c r="G205" s="2" t="s">
        <v>350</v>
      </c>
      <c r="H205" s="2">
        <v>200</v>
      </c>
    </row>
    <row r="206" spans="1:8">
      <c r="A206" s="2" t="s">
        <v>345</v>
      </c>
      <c r="B206" s="2" t="s">
        <v>240</v>
      </c>
      <c r="C206" s="2" t="s">
        <v>416</v>
      </c>
      <c r="D206" s="2">
        <v>2</v>
      </c>
      <c r="E206" s="2" t="s">
        <v>482</v>
      </c>
      <c r="F206" s="5">
        <v>46233.654074074075</v>
      </c>
      <c r="G206" s="2" t="s">
        <v>350</v>
      </c>
      <c r="H206" s="2">
        <v>200</v>
      </c>
    </row>
    <row r="207" spans="1:8">
      <c r="A207" s="2" t="s">
        <v>345</v>
      </c>
      <c r="B207" s="2" t="s">
        <v>240</v>
      </c>
      <c r="C207" s="2" t="s">
        <v>436</v>
      </c>
      <c r="D207" s="2">
        <v>-1</v>
      </c>
      <c r="E207" s="2" t="s">
        <v>437</v>
      </c>
      <c r="F207" s="5">
        <v>46233.654074074075</v>
      </c>
      <c r="G207" s="2" t="s">
        <v>350</v>
      </c>
      <c r="H207" s="2">
        <v>200</v>
      </c>
    </row>
    <row r="208" spans="1:8">
      <c r="A208" s="2" t="s">
        <v>345</v>
      </c>
      <c r="B208" s="2" t="s">
        <v>240</v>
      </c>
      <c r="C208" s="2" t="s">
        <v>483</v>
      </c>
      <c r="D208" s="2">
        <v>10</v>
      </c>
      <c r="E208" s="2" t="s">
        <v>484</v>
      </c>
      <c r="F208" s="5">
        <v>46233.654074074075</v>
      </c>
      <c r="G208" s="2" t="s">
        <v>350</v>
      </c>
      <c r="H208" s="2">
        <v>200</v>
      </c>
    </row>
    <row r="209" spans="1:8">
      <c r="A209" s="2" t="s">
        <v>345</v>
      </c>
      <c r="B209" s="2" t="s">
        <v>240</v>
      </c>
      <c r="C209" s="2" t="s">
        <v>440</v>
      </c>
      <c r="D209" s="2">
        <v>4</v>
      </c>
      <c r="E209" s="2" t="s">
        <v>485</v>
      </c>
      <c r="F209" s="5">
        <v>46233.654074074075</v>
      </c>
      <c r="G209" s="2" t="s">
        <v>350</v>
      </c>
      <c r="H209" s="2">
        <v>200</v>
      </c>
    </row>
    <row r="210" spans="1:8">
      <c r="A210" s="2" t="s">
        <v>345</v>
      </c>
      <c r="B210" s="2" t="s">
        <v>240</v>
      </c>
      <c r="C210" s="2" t="s">
        <v>438</v>
      </c>
      <c r="D210" s="2">
        <v>0</v>
      </c>
      <c r="E210" s="2" t="s">
        <v>439</v>
      </c>
      <c r="F210" s="5">
        <v>46233.654074074075</v>
      </c>
      <c r="G210" s="2" t="s">
        <v>350</v>
      </c>
      <c r="H210" s="2">
        <v>200</v>
      </c>
    </row>
    <row r="211" spans="1:8">
      <c r="A211" s="2" t="s">
        <v>345</v>
      </c>
      <c r="B211" s="2" t="s">
        <v>240</v>
      </c>
      <c r="C211" s="2" t="s">
        <v>430</v>
      </c>
      <c r="D211" s="2">
        <v>10</v>
      </c>
      <c r="E211" s="2" t="s">
        <v>431</v>
      </c>
      <c r="F211" s="5">
        <v>46233.654074074075</v>
      </c>
      <c r="G211" s="2" t="s">
        <v>350</v>
      </c>
      <c r="H211" s="2">
        <v>200</v>
      </c>
    </row>
    <row r="212" spans="1:8">
      <c r="A212" s="2" t="s">
        <v>345</v>
      </c>
      <c r="B212" s="2" t="s">
        <v>240</v>
      </c>
      <c r="C212" s="2" t="s">
        <v>434</v>
      </c>
      <c r="D212" s="2">
        <v>6</v>
      </c>
      <c r="E212" s="2" t="s">
        <v>435</v>
      </c>
      <c r="F212" s="5">
        <v>46233.654074074075</v>
      </c>
      <c r="G212" s="2" t="s">
        <v>350</v>
      </c>
      <c r="H212" s="2">
        <v>200</v>
      </c>
    </row>
    <row r="213" spans="1:8">
      <c r="A213" s="2" t="s">
        <v>345</v>
      </c>
      <c r="B213" s="2" t="s">
        <v>240</v>
      </c>
      <c r="C213" s="2" t="s">
        <v>486</v>
      </c>
      <c r="D213" s="2">
        <v>10</v>
      </c>
      <c r="E213" s="2" t="s">
        <v>487</v>
      </c>
      <c r="F213" s="5">
        <v>46233.654074074075</v>
      </c>
      <c r="G213" s="2" t="s">
        <v>350</v>
      </c>
      <c r="H213" s="2">
        <v>200</v>
      </c>
    </row>
    <row r="214" spans="1:8">
      <c r="A214" s="2" t="s">
        <v>345</v>
      </c>
      <c r="B214" s="2" t="s">
        <v>240</v>
      </c>
      <c r="C214" s="2" t="s">
        <v>488</v>
      </c>
      <c r="D214" s="2">
        <v>10</v>
      </c>
      <c r="E214" s="2" t="s">
        <v>489</v>
      </c>
      <c r="F214" s="5">
        <v>46233.654074074075</v>
      </c>
      <c r="G214" s="2" t="s">
        <v>350</v>
      </c>
      <c r="H214" s="2">
        <v>200</v>
      </c>
    </row>
    <row r="215" spans="1:8">
      <c r="A215" s="2" t="s">
        <v>351</v>
      </c>
      <c r="B215" s="2" t="s">
        <v>240</v>
      </c>
      <c r="C215" s="2" t="s">
        <v>418</v>
      </c>
      <c r="D215" s="2">
        <v>6</v>
      </c>
      <c r="E215" s="2" t="s">
        <v>490</v>
      </c>
      <c r="F215" s="5">
        <v>46230</v>
      </c>
      <c r="G215" s="2" t="s">
        <v>356</v>
      </c>
      <c r="H215" s="2">
        <v>200</v>
      </c>
    </row>
    <row r="216" spans="1:8">
      <c r="A216" s="2" t="s">
        <v>351</v>
      </c>
      <c r="B216" s="2" t="s">
        <v>240</v>
      </c>
      <c r="C216" s="2" t="s">
        <v>414</v>
      </c>
      <c r="D216" s="2">
        <v>10</v>
      </c>
      <c r="E216" s="2" t="s">
        <v>491</v>
      </c>
      <c r="F216" s="5">
        <v>46230</v>
      </c>
      <c r="G216" s="2" t="s">
        <v>356</v>
      </c>
      <c r="H216" s="2">
        <v>200</v>
      </c>
    </row>
    <row r="217" spans="1:8">
      <c r="A217" s="2" t="s">
        <v>351</v>
      </c>
      <c r="B217" s="2" t="s">
        <v>240</v>
      </c>
      <c r="C217" s="2" t="s">
        <v>426</v>
      </c>
      <c r="D217" s="2">
        <v>9</v>
      </c>
      <c r="E217" s="2" t="s">
        <v>427</v>
      </c>
      <c r="F217" s="5">
        <v>46230</v>
      </c>
      <c r="G217" s="2" t="s">
        <v>356</v>
      </c>
      <c r="H217" s="2">
        <v>200</v>
      </c>
    </row>
    <row r="218" spans="1:8">
      <c r="A218" s="2" t="s">
        <v>351</v>
      </c>
      <c r="B218" s="2" t="s">
        <v>240</v>
      </c>
      <c r="C218" s="2" t="s">
        <v>422</v>
      </c>
      <c r="D218" s="2">
        <v>-1</v>
      </c>
      <c r="E218" s="2" t="s">
        <v>423</v>
      </c>
      <c r="F218" s="5">
        <v>46230</v>
      </c>
      <c r="G218" s="2" t="s">
        <v>356</v>
      </c>
      <c r="H218" s="2">
        <v>200</v>
      </c>
    </row>
    <row r="219" spans="1:8">
      <c r="A219" s="2" t="s">
        <v>351</v>
      </c>
      <c r="B219" s="2" t="s">
        <v>240</v>
      </c>
      <c r="C219" s="2" t="s">
        <v>420</v>
      </c>
      <c r="D219" s="2">
        <v>10</v>
      </c>
      <c r="E219" s="2" t="s">
        <v>421</v>
      </c>
      <c r="F219" s="5">
        <v>46230</v>
      </c>
      <c r="G219" s="2" t="s">
        <v>356</v>
      </c>
      <c r="H219" s="2">
        <v>200</v>
      </c>
    </row>
    <row r="220" spans="1:8">
      <c r="A220" s="2" t="s">
        <v>351</v>
      </c>
      <c r="B220" s="2" t="s">
        <v>240</v>
      </c>
      <c r="C220" s="2" t="s">
        <v>424</v>
      </c>
      <c r="D220" s="2">
        <v>10</v>
      </c>
      <c r="E220" s="2" t="s">
        <v>425</v>
      </c>
      <c r="F220" s="5">
        <v>46230</v>
      </c>
      <c r="G220" s="2" t="s">
        <v>356</v>
      </c>
      <c r="H220" s="2">
        <v>200</v>
      </c>
    </row>
    <row r="221" spans="1:8">
      <c r="A221" s="2" t="s">
        <v>351</v>
      </c>
      <c r="B221" s="2" t="s">
        <v>240</v>
      </c>
      <c r="C221" s="2" t="s">
        <v>416</v>
      </c>
      <c r="D221" s="2">
        <v>0</v>
      </c>
      <c r="E221" s="2" t="s">
        <v>417</v>
      </c>
      <c r="F221" s="5">
        <v>46230</v>
      </c>
      <c r="G221" s="2" t="s">
        <v>356</v>
      </c>
      <c r="H221" s="2">
        <v>200</v>
      </c>
    </row>
    <row r="222" spans="1:8">
      <c r="A222" s="2" t="s">
        <v>351</v>
      </c>
      <c r="B222" s="2" t="s">
        <v>240</v>
      </c>
      <c r="C222" s="2" t="s">
        <v>428</v>
      </c>
      <c r="D222" s="2">
        <v>10</v>
      </c>
      <c r="E222" s="2" t="s">
        <v>429</v>
      </c>
      <c r="F222" s="5">
        <v>46230</v>
      </c>
      <c r="G222" s="2" t="s">
        <v>356</v>
      </c>
      <c r="H222" s="2">
        <v>200</v>
      </c>
    </row>
    <row r="223" spans="1:8">
      <c r="A223" s="2" t="s">
        <v>351</v>
      </c>
      <c r="B223" s="2" t="s">
        <v>240</v>
      </c>
      <c r="C223" s="2" t="s">
        <v>432</v>
      </c>
      <c r="D223" s="2">
        <v>0</v>
      </c>
      <c r="E223" s="2" t="s">
        <v>433</v>
      </c>
      <c r="F223" s="5">
        <v>46230</v>
      </c>
      <c r="G223" s="2" t="s">
        <v>356</v>
      </c>
      <c r="H223" s="2">
        <v>200</v>
      </c>
    </row>
    <row r="224" spans="1:8">
      <c r="A224" s="2" t="s">
        <v>351</v>
      </c>
      <c r="B224" s="2" t="s">
        <v>240</v>
      </c>
      <c r="C224" s="2" t="s">
        <v>438</v>
      </c>
      <c r="D224" s="2">
        <v>0</v>
      </c>
      <c r="E224" s="2" t="s">
        <v>439</v>
      </c>
      <c r="F224" s="5">
        <v>46230</v>
      </c>
      <c r="G224" s="2" t="s">
        <v>356</v>
      </c>
      <c r="H224" s="2">
        <v>200</v>
      </c>
    </row>
    <row r="225" spans="1:8">
      <c r="A225" s="2" t="s">
        <v>351</v>
      </c>
      <c r="B225" s="2" t="s">
        <v>240</v>
      </c>
      <c r="C225" s="2" t="s">
        <v>430</v>
      </c>
      <c r="D225" s="2">
        <v>10</v>
      </c>
      <c r="E225" s="2" t="s">
        <v>431</v>
      </c>
      <c r="F225" s="5">
        <v>46230</v>
      </c>
      <c r="G225" s="2" t="s">
        <v>356</v>
      </c>
      <c r="H225" s="2">
        <v>200</v>
      </c>
    </row>
    <row r="226" spans="1:8">
      <c r="A226" s="2" t="s">
        <v>351</v>
      </c>
      <c r="B226" s="2" t="s">
        <v>240</v>
      </c>
      <c r="C226" s="2" t="s">
        <v>436</v>
      </c>
      <c r="D226" s="2">
        <v>0</v>
      </c>
      <c r="E226" s="2" t="s">
        <v>468</v>
      </c>
      <c r="F226" s="5">
        <v>46230</v>
      </c>
      <c r="G226" s="2" t="s">
        <v>356</v>
      </c>
      <c r="H226" s="2">
        <v>200</v>
      </c>
    </row>
    <row r="227" spans="1:8">
      <c r="A227" s="2" t="s">
        <v>351</v>
      </c>
      <c r="B227" s="2" t="s">
        <v>240</v>
      </c>
      <c r="C227" s="2" t="s">
        <v>434</v>
      </c>
      <c r="D227" s="2">
        <v>-1</v>
      </c>
      <c r="E227" s="2" t="s">
        <v>451</v>
      </c>
      <c r="F227" s="5">
        <v>46230</v>
      </c>
      <c r="G227" s="2" t="s">
        <v>356</v>
      </c>
      <c r="H227" s="2">
        <v>200</v>
      </c>
    </row>
    <row r="228" spans="1:8">
      <c r="A228" s="2" t="s">
        <v>351</v>
      </c>
      <c r="B228" s="2" t="s">
        <v>240</v>
      </c>
      <c r="C228" s="2" t="s">
        <v>440</v>
      </c>
      <c r="D228" s="2">
        <v>0</v>
      </c>
      <c r="E228" s="2" t="s">
        <v>448</v>
      </c>
      <c r="F228" s="5">
        <v>46230</v>
      </c>
      <c r="G228" s="2" t="s">
        <v>356</v>
      </c>
      <c r="H228" s="2">
        <v>200</v>
      </c>
    </row>
    <row r="229" spans="1:8">
      <c r="A229" s="2" t="s">
        <v>357</v>
      </c>
      <c r="B229" s="2" t="s">
        <v>240</v>
      </c>
      <c r="C229" s="2" t="s">
        <v>418</v>
      </c>
      <c r="D229" s="2">
        <v>8</v>
      </c>
      <c r="E229" s="2" t="s">
        <v>492</v>
      </c>
      <c r="F229" s="5">
        <v>46230</v>
      </c>
      <c r="G229" s="2" t="s">
        <v>363</v>
      </c>
      <c r="H229" s="2">
        <v>200</v>
      </c>
    </row>
    <row r="230" spans="1:8">
      <c r="A230" s="2" t="s">
        <v>357</v>
      </c>
      <c r="B230" s="2" t="s">
        <v>240</v>
      </c>
      <c r="C230" s="2" t="s">
        <v>416</v>
      </c>
      <c r="D230" s="2">
        <v>0</v>
      </c>
      <c r="E230" s="2" t="s">
        <v>417</v>
      </c>
      <c r="F230" s="5">
        <v>46230</v>
      </c>
      <c r="G230" s="2" t="s">
        <v>363</v>
      </c>
      <c r="H230" s="2">
        <v>200</v>
      </c>
    </row>
    <row r="231" spans="1:8">
      <c r="A231" s="2" t="s">
        <v>357</v>
      </c>
      <c r="B231" s="2" t="s">
        <v>240</v>
      </c>
      <c r="C231" s="2" t="s">
        <v>414</v>
      </c>
      <c r="D231" s="2">
        <v>10</v>
      </c>
      <c r="E231" s="2" t="s">
        <v>493</v>
      </c>
      <c r="F231" s="5">
        <v>46230</v>
      </c>
      <c r="G231" s="2" t="s">
        <v>363</v>
      </c>
      <c r="H231" s="2">
        <v>200</v>
      </c>
    </row>
    <row r="232" spans="1:8">
      <c r="A232" s="2" t="s">
        <v>357</v>
      </c>
      <c r="B232" s="2" t="s">
        <v>240</v>
      </c>
      <c r="C232" s="2" t="s">
        <v>430</v>
      </c>
      <c r="D232" s="2">
        <v>10</v>
      </c>
      <c r="E232" s="2" t="s">
        <v>431</v>
      </c>
      <c r="F232" s="5">
        <v>46230</v>
      </c>
      <c r="G232" s="2" t="s">
        <v>363</v>
      </c>
      <c r="H232" s="2">
        <v>200</v>
      </c>
    </row>
    <row r="233" spans="1:8">
      <c r="A233" s="2" t="s">
        <v>357</v>
      </c>
      <c r="B233" s="2" t="s">
        <v>240</v>
      </c>
      <c r="C233" s="2" t="s">
        <v>420</v>
      </c>
      <c r="D233" s="2">
        <v>10</v>
      </c>
      <c r="E233" s="2" t="s">
        <v>421</v>
      </c>
      <c r="F233" s="5">
        <v>46230</v>
      </c>
      <c r="G233" s="2" t="s">
        <v>363</v>
      </c>
      <c r="H233" s="2">
        <v>200</v>
      </c>
    </row>
    <row r="234" spans="1:8">
      <c r="A234" s="2" t="s">
        <v>357</v>
      </c>
      <c r="B234" s="2" t="s">
        <v>240</v>
      </c>
      <c r="C234" s="2" t="s">
        <v>436</v>
      </c>
      <c r="D234" s="2">
        <v>-1</v>
      </c>
      <c r="E234" s="2" t="s">
        <v>437</v>
      </c>
      <c r="F234" s="5">
        <v>46230</v>
      </c>
      <c r="G234" s="2" t="s">
        <v>363</v>
      </c>
      <c r="H234" s="2">
        <v>200</v>
      </c>
    </row>
    <row r="235" spans="1:8">
      <c r="A235" s="2" t="s">
        <v>357</v>
      </c>
      <c r="B235" s="2" t="s">
        <v>240</v>
      </c>
      <c r="C235" s="2" t="s">
        <v>434</v>
      </c>
      <c r="D235" s="2">
        <v>8</v>
      </c>
      <c r="E235" s="2" t="s">
        <v>435</v>
      </c>
      <c r="F235" s="5">
        <v>46230</v>
      </c>
      <c r="G235" s="2" t="s">
        <v>363</v>
      </c>
      <c r="H235" s="2">
        <v>200</v>
      </c>
    </row>
    <row r="236" spans="1:8">
      <c r="A236" s="2" t="s">
        <v>357</v>
      </c>
      <c r="B236" s="2" t="s">
        <v>240</v>
      </c>
      <c r="C236" s="2" t="s">
        <v>422</v>
      </c>
      <c r="D236" s="2">
        <v>-1</v>
      </c>
      <c r="E236" s="2" t="s">
        <v>423</v>
      </c>
      <c r="F236" s="5">
        <v>46230</v>
      </c>
      <c r="G236" s="2" t="s">
        <v>363</v>
      </c>
      <c r="H236" s="2">
        <v>200</v>
      </c>
    </row>
    <row r="237" spans="1:8">
      <c r="A237" s="2" t="s">
        <v>357</v>
      </c>
      <c r="B237" s="2" t="s">
        <v>240</v>
      </c>
      <c r="C237" s="2" t="s">
        <v>424</v>
      </c>
      <c r="D237" s="2">
        <v>10</v>
      </c>
      <c r="E237" s="2" t="s">
        <v>425</v>
      </c>
      <c r="F237" s="5">
        <v>46230</v>
      </c>
      <c r="G237" s="2" t="s">
        <v>363</v>
      </c>
      <c r="H237" s="2">
        <v>200</v>
      </c>
    </row>
    <row r="238" spans="1:8">
      <c r="A238" s="2" t="s">
        <v>357</v>
      </c>
      <c r="B238" s="2" t="s">
        <v>240</v>
      </c>
      <c r="C238" s="2" t="s">
        <v>426</v>
      </c>
      <c r="D238" s="2">
        <v>0</v>
      </c>
      <c r="E238" s="2" t="s">
        <v>427</v>
      </c>
      <c r="F238" s="5">
        <v>46230</v>
      </c>
      <c r="G238" s="2" t="s">
        <v>363</v>
      </c>
      <c r="H238" s="2">
        <v>200</v>
      </c>
    </row>
    <row r="239" spans="1:8">
      <c r="A239" s="2" t="s">
        <v>357</v>
      </c>
      <c r="B239" s="2" t="s">
        <v>240</v>
      </c>
      <c r="C239" s="2" t="s">
        <v>440</v>
      </c>
      <c r="D239" s="2">
        <v>0</v>
      </c>
      <c r="E239" s="2" t="s">
        <v>448</v>
      </c>
      <c r="F239" s="5">
        <v>46230</v>
      </c>
      <c r="G239" s="2" t="s">
        <v>363</v>
      </c>
      <c r="H239" s="2">
        <v>200</v>
      </c>
    </row>
    <row r="240" spans="1:8">
      <c r="A240" s="2" t="s">
        <v>357</v>
      </c>
      <c r="B240" s="2" t="s">
        <v>240</v>
      </c>
      <c r="C240" s="2" t="s">
        <v>428</v>
      </c>
      <c r="D240" s="2">
        <v>9</v>
      </c>
      <c r="E240" s="2" t="s">
        <v>444</v>
      </c>
      <c r="F240" s="5">
        <v>46230</v>
      </c>
      <c r="G240" s="2" t="s">
        <v>363</v>
      </c>
      <c r="H240" s="2">
        <v>200</v>
      </c>
    </row>
    <row r="241" spans="1:8">
      <c r="A241" s="2" t="s">
        <v>357</v>
      </c>
      <c r="B241" s="2" t="s">
        <v>240</v>
      </c>
      <c r="C241" s="2" t="s">
        <v>432</v>
      </c>
      <c r="D241" s="2">
        <v>9</v>
      </c>
      <c r="E241" s="2" t="s">
        <v>494</v>
      </c>
      <c r="F241" s="5">
        <v>46230</v>
      </c>
      <c r="G241" s="2" t="s">
        <v>363</v>
      </c>
      <c r="H241" s="2">
        <v>200</v>
      </c>
    </row>
    <row r="242" spans="1:8">
      <c r="A242" s="2" t="s">
        <v>357</v>
      </c>
      <c r="B242" s="2" t="s">
        <v>240</v>
      </c>
      <c r="C242" s="2" t="s">
        <v>438</v>
      </c>
      <c r="D242" s="2">
        <v>0</v>
      </c>
      <c r="E242" s="2" t="s">
        <v>439</v>
      </c>
      <c r="F242" s="5">
        <v>46230</v>
      </c>
      <c r="G242" s="2" t="s">
        <v>363</v>
      </c>
      <c r="H242" s="2">
        <v>200</v>
      </c>
    </row>
    <row r="243" spans="1:8">
      <c r="A243" s="2" t="s">
        <v>364</v>
      </c>
      <c r="B243" s="2" t="s">
        <v>240</v>
      </c>
      <c r="C243" s="2" t="s">
        <v>411</v>
      </c>
      <c r="D243" s="2"/>
      <c r="E243" s="2" t="s">
        <v>412</v>
      </c>
      <c r="F243" s="5"/>
      <c r="G243" s="2" t="s">
        <v>370</v>
      </c>
      <c r="H243" s="2">
        <v>406</v>
      </c>
    </row>
    <row r="244" spans="1:8">
      <c r="A244" s="2" t="s">
        <v>371</v>
      </c>
      <c r="B244" s="2" t="s">
        <v>240</v>
      </c>
      <c r="C244" s="2" t="s">
        <v>428</v>
      </c>
      <c r="D244" s="2">
        <v>9</v>
      </c>
      <c r="E244" s="2" t="s">
        <v>444</v>
      </c>
      <c r="F244" s="5">
        <v>45520.08761574074</v>
      </c>
      <c r="G244" s="2" t="s">
        <v>377</v>
      </c>
      <c r="H244" s="2">
        <v>200</v>
      </c>
    </row>
    <row r="245" spans="1:8">
      <c r="A245" s="2" t="s">
        <v>371</v>
      </c>
      <c r="B245" s="2" t="s">
        <v>240</v>
      </c>
      <c r="C245" s="2" t="s">
        <v>434</v>
      </c>
      <c r="D245" s="2">
        <v>-1</v>
      </c>
      <c r="E245" s="2" t="s">
        <v>495</v>
      </c>
      <c r="F245" s="5">
        <v>45520.08761574074</v>
      </c>
      <c r="G245" s="2" t="s">
        <v>377</v>
      </c>
      <c r="H245" s="2">
        <v>200</v>
      </c>
    </row>
    <row r="246" spans="1:8">
      <c r="A246" s="2" t="s">
        <v>371</v>
      </c>
      <c r="B246" s="2" t="s">
        <v>240</v>
      </c>
      <c r="C246" s="2" t="s">
        <v>486</v>
      </c>
      <c r="D246" s="2">
        <v>10</v>
      </c>
      <c r="E246" s="2" t="s">
        <v>487</v>
      </c>
      <c r="F246" s="5">
        <v>45520.08761574074</v>
      </c>
      <c r="G246" s="2" t="s">
        <v>377</v>
      </c>
      <c r="H246" s="2">
        <v>200</v>
      </c>
    </row>
    <row r="247" spans="1:8">
      <c r="A247" s="2" t="s">
        <v>371</v>
      </c>
      <c r="B247" s="2" t="s">
        <v>240</v>
      </c>
      <c r="C247" s="2" t="s">
        <v>416</v>
      </c>
      <c r="D247" s="2">
        <v>0</v>
      </c>
      <c r="E247" s="2" t="s">
        <v>417</v>
      </c>
      <c r="F247" s="5">
        <v>45520.08761574074</v>
      </c>
      <c r="G247" s="2" t="s">
        <v>377</v>
      </c>
      <c r="H247" s="2">
        <v>200</v>
      </c>
    </row>
    <row r="248" spans="1:8">
      <c r="A248" s="2" t="s">
        <v>371</v>
      </c>
      <c r="B248" s="2" t="s">
        <v>240</v>
      </c>
      <c r="C248" s="2" t="s">
        <v>418</v>
      </c>
      <c r="D248" s="2">
        <v>10</v>
      </c>
      <c r="E248" s="2" t="s">
        <v>442</v>
      </c>
      <c r="F248" s="5">
        <v>45520.08761574074</v>
      </c>
      <c r="G248" s="2" t="s">
        <v>377</v>
      </c>
      <c r="H248" s="2">
        <v>200</v>
      </c>
    </row>
    <row r="249" spans="1:8">
      <c r="A249" s="2" t="s">
        <v>371</v>
      </c>
      <c r="B249" s="2" t="s">
        <v>240</v>
      </c>
      <c r="C249" s="2" t="s">
        <v>488</v>
      </c>
      <c r="D249" s="2">
        <v>10</v>
      </c>
      <c r="E249" s="2" t="s">
        <v>496</v>
      </c>
      <c r="F249" s="5">
        <v>45520.08761574074</v>
      </c>
      <c r="G249" s="2" t="s">
        <v>377</v>
      </c>
      <c r="H249" s="2">
        <v>200</v>
      </c>
    </row>
    <row r="250" spans="1:8">
      <c r="A250" s="2" t="s">
        <v>371</v>
      </c>
      <c r="B250" s="2" t="s">
        <v>240</v>
      </c>
      <c r="C250" s="2" t="s">
        <v>424</v>
      </c>
      <c r="D250" s="2">
        <v>10</v>
      </c>
      <c r="E250" s="2" t="s">
        <v>425</v>
      </c>
      <c r="F250" s="5">
        <v>45520.08761574074</v>
      </c>
      <c r="G250" s="2" t="s">
        <v>377</v>
      </c>
      <c r="H250" s="2">
        <v>200</v>
      </c>
    </row>
    <row r="251" spans="1:8">
      <c r="A251" s="2" t="s">
        <v>371</v>
      </c>
      <c r="B251" s="2" t="s">
        <v>240</v>
      </c>
      <c r="C251" s="2" t="s">
        <v>478</v>
      </c>
      <c r="D251" s="2">
        <v>10</v>
      </c>
      <c r="E251" s="2" t="s">
        <v>479</v>
      </c>
      <c r="F251" s="5">
        <v>45520.08761574074</v>
      </c>
      <c r="G251" s="2" t="s">
        <v>377</v>
      </c>
      <c r="H251" s="2">
        <v>200</v>
      </c>
    </row>
    <row r="252" spans="1:8">
      <c r="A252" s="2" t="s">
        <v>371</v>
      </c>
      <c r="B252" s="2" t="s">
        <v>240</v>
      </c>
      <c r="C252" s="2" t="s">
        <v>438</v>
      </c>
      <c r="D252" s="2">
        <v>0</v>
      </c>
      <c r="E252" s="2" t="s">
        <v>439</v>
      </c>
      <c r="F252" s="5">
        <v>45520.08761574074</v>
      </c>
      <c r="G252" s="2" t="s">
        <v>377</v>
      </c>
      <c r="H252" s="2">
        <v>200</v>
      </c>
    </row>
    <row r="253" spans="1:8">
      <c r="A253" s="2" t="s">
        <v>371</v>
      </c>
      <c r="B253" s="2" t="s">
        <v>240</v>
      </c>
      <c r="C253" s="2" t="s">
        <v>430</v>
      </c>
      <c r="D253" s="2">
        <v>10</v>
      </c>
      <c r="E253" s="2" t="s">
        <v>431</v>
      </c>
      <c r="F253" s="5">
        <v>45520.08761574074</v>
      </c>
      <c r="G253" s="2" t="s">
        <v>377</v>
      </c>
      <c r="H253" s="2">
        <v>200</v>
      </c>
    </row>
    <row r="254" spans="1:8">
      <c r="A254" s="2" t="s">
        <v>371</v>
      </c>
      <c r="B254" s="2" t="s">
        <v>240</v>
      </c>
      <c r="C254" s="2" t="s">
        <v>414</v>
      </c>
      <c r="D254" s="2">
        <v>10</v>
      </c>
      <c r="E254" s="2" t="s">
        <v>450</v>
      </c>
      <c r="F254" s="5">
        <v>45520.08761574074</v>
      </c>
      <c r="G254" s="2" t="s">
        <v>377</v>
      </c>
      <c r="H254" s="2">
        <v>200</v>
      </c>
    </row>
    <row r="255" spans="1:8">
      <c r="A255" s="2" t="s">
        <v>371</v>
      </c>
      <c r="B255" s="2" t="s">
        <v>240</v>
      </c>
      <c r="C255" s="2" t="s">
        <v>422</v>
      </c>
      <c r="D255" s="2">
        <v>-1</v>
      </c>
      <c r="E255" s="2" t="s">
        <v>423</v>
      </c>
      <c r="F255" s="5">
        <v>45520.08761574074</v>
      </c>
      <c r="G255" s="2" t="s">
        <v>377</v>
      </c>
      <c r="H255" s="2">
        <v>200</v>
      </c>
    </row>
    <row r="256" spans="1:8">
      <c r="A256" s="2" t="s">
        <v>371</v>
      </c>
      <c r="B256" s="2" t="s">
        <v>240</v>
      </c>
      <c r="C256" s="2" t="s">
        <v>432</v>
      </c>
      <c r="D256" s="2">
        <v>10</v>
      </c>
      <c r="E256" s="2" t="s">
        <v>445</v>
      </c>
      <c r="F256" s="5">
        <v>45520.08761574074</v>
      </c>
      <c r="G256" s="2" t="s">
        <v>377</v>
      </c>
      <c r="H256" s="2">
        <v>200</v>
      </c>
    </row>
    <row r="257" spans="1:8">
      <c r="A257" s="2" t="s">
        <v>371</v>
      </c>
      <c r="B257" s="2" t="s">
        <v>240</v>
      </c>
      <c r="C257" s="2" t="s">
        <v>440</v>
      </c>
      <c r="D257" s="2">
        <v>0</v>
      </c>
      <c r="E257" s="2" t="s">
        <v>448</v>
      </c>
      <c r="F257" s="5">
        <v>45520.08761574074</v>
      </c>
      <c r="G257" s="2" t="s">
        <v>377</v>
      </c>
      <c r="H257" s="2">
        <v>200</v>
      </c>
    </row>
    <row r="258" spans="1:8">
      <c r="A258" s="2" t="s">
        <v>371</v>
      </c>
      <c r="B258" s="2" t="s">
        <v>240</v>
      </c>
      <c r="C258" s="2" t="s">
        <v>420</v>
      </c>
      <c r="D258" s="2">
        <v>10</v>
      </c>
      <c r="E258" s="2" t="s">
        <v>421</v>
      </c>
      <c r="F258" s="5">
        <v>45520.08761574074</v>
      </c>
      <c r="G258" s="2" t="s">
        <v>377</v>
      </c>
      <c r="H258" s="2">
        <v>200</v>
      </c>
    </row>
    <row r="259" spans="1:8">
      <c r="A259" s="2" t="s">
        <v>371</v>
      </c>
      <c r="B259" s="2" t="s">
        <v>240</v>
      </c>
      <c r="C259" s="2" t="s">
        <v>436</v>
      </c>
      <c r="D259" s="2">
        <v>-1</v>
      </c>
      <c r="E259" s="2" t="s">
        <v>437</v>
      </c>
      <c r="F259" s="5">
        <v>45520.08761574074</v>
      </c>
      <c r="G259" s="2" t="s">
        <v>377</v>
      </c>
      <c r="H259" s="2">
        <v>200</v>
      </c>
    </row>
    <row r="260" spans="1:8">
      <c r="A260" s="2" t="s">
        <v>371</v>
      </c>
      <c r="B260" s="2" t="s">
        <v>240</v>
      </c>
      <c r="C260" s="2" t="s">
        <v>426</v>
      </c>
      <c r="D260" s="2">
        <v>10</v>
      </c>
      <c r="E260" s="2" t="s">
        <v>457</v>
      </c>
      <c r="F260" s="5">
        <v>45520.08761574074</v>
      </c>
      <c r="G260" s="2" t="s">
        <v>377</v>
      </c>
      <c r="H260" s="2">
        <v>200</v>
      </c>
    </row>
    <row r="261" spans="1:8">
      <c r="A261" s="2" t="s">
        <v>371</v>
      </c>
      <c r="B261" s="2" t="s">
        <v>240</v>
      </c>
      <c r="C261" s="2" t="s">
        <v>483</v>
      </c>
      <c r="D261" s="2">
        <v>10</v>
      </c>
      <c r="E261" s="2" t="s">
        <v>484</v>
      </c>
      <c r="F261" s="5">
        <v>45520.08761574074</v>
      </c>
      <c r="G261" s="2" t="s">
        <v>377</v>
      </c>
      <c r="H261" s="2">
        <v>200</v>
      </c>
    </row>
    <row r="262" spans="1:8">
      <c r="A262" s="2" t="s">
        <v>378</v>
      </c>
      <c r="B262" s="2" t="s">
        <v>240</v>
      </c>
      <c r="C262" s="2" t="s">
        <v>418</v>
      </c>
      <c r="D262" s="2">
        <v>1</v>
      </c>
      <c r="E262" s="2" t="s">
        <v>497</v>
      </c>
      <c r="F262" s="5">
        <v>46230</v>
      </c>
      <c r="G262" s="2" t="s">
        <v>384</v>
      </c>
      <c r="H262" s="2">
        <v>200</v>
      </c>
    </row>
    <row r="263" spans="1:8">
      <c r="A263" s="2" t="s">
        <v>378</v>
      </c>
      <c r="B263" s="2" t="s">
        <v>240</v>
      </c>
      <c r="C263" s="2" t="s">
        <v>414</v>
      </c>
      <c r="D263" s="2">
        <v>10</v>
      </c>
      <c r="E263" s="2" t="s">
        <v>498</v>
      </c>
      <c r="F263" s="5">
        <v>46230</v>
      </c>
      <c r="G263" s="2" t="s">
        <v>384</v>
      </c>
      <c r="H263" s="2">
        <v>200</v>
      </c>
    </row>
    <row r="264" spans="1:8">
      <c r="A264" s="2" t="s">
        <v>378</v>
      </c>
      <c r="B264" s="2" t="s">
        <v>240</v>
      </c>
      <c r="C264" s="2" t="s">
        <v>422</v>
      </c>
      <c r="D264" s="2">
        <v>-1</v>
      </c>
      <c r="E264" s="2" t="s">
        <v>423</v>
      </c>
      <c r="F264" s="5">
        <v>46230</v>
      </c>
      <c r="G264" s="2" t="s">
        <v>384</v>
      </c>
      <c r="H264" s="2">
        <v>200</v>
      </c>
    </row>
    <row r="265" spans="1:8">
      <c r="A265" s="2" t="s">
        <v>378</v>
      </c>
      <c r="B265" s="2" t="s">
        <v>240</v>
      </c>
      <c r="C265" s="2" t="s">
        <v>424</v>
      </c>
      <c r="D265" s="2">
        <v>10</v>
      </c>
      <c r="E265" s="2" t="s">
        <v>425</v>
      </c>
      <c r="F265" s="5">
        <v>46230</v>
      </c>
      <c r="G265" s="2" t="s">
        <v>384</v>
      </c>
      <c r="H265" s="2">
        <v>200</v>
      </c>
    </row>
    <row r="266" spans="1:8">
      <c r="A266" s="2" t="s">
        <v>378</v>
      </c>
      <c r="B266" s="2" t="s">
        <v>240</v>
      </c>
      <c r="C266" s="2" t="s">
        <v>428</v>
      </c>
      <c r="D266" s="2">
        <v>10</v>
      </c>
      <c r="E266" s="2" t="s">
        <v>429</v>
      </c>
      <c r="F266" s="5">
        <v>46230</v>
      </c>
      <c r="G266" s="2" t="s">
        <v>384</v>
      </c>
      <c r="H266" s="2">
        <v>200</v>
      </c>
    </row>
    <row r="267" spans="1:8">
      <c r="A267" s="2" t="s">
        <v>378</v>
      </c>
      <c r="B267" s="2" t="s">
        <v>240</v>
      </c>
      <c r="C267" s="2" t="s">
        <v>426</v>
      </c>
      <c r="D267" s="2">
        <v>0</v>
      </c>
      <c r="E267" s="2" t="s">
        <v>427</v>
      </c>
      <c r="F267" s="5">
        <v>46230</v>
      </c>
      <c r="G267" s="2" t="s">
        <v>384</v>
      </c>
      <c r="H267" s="2">
        <v>200</v>
      </c>
    </row>
    <row r="268" spans="1:8">
      <c r="A268" s="2" t="s">
        <v>378</v>
      </c>
      <c r="B268" s="2" t="s">
        <v>240</v>
      </c>
      <c r="C268" s="2" t="s">
        <v>416</v>
      </c>
      <c r="D268" s="2">
        <v>0</v>
      </c>
      <c r="E268" s="2" t="s">
        <v>417</v>
      </c>
      <c r="F268" s="5">
        <v>46230</v>
      </c>
      <c r="G268" s="2" t="s">
        <v>384</v>
      </c>
      <c r="H268" s="2">
        <v>200</v>
      </c>
    </row>
    <row r="269" spans="1:8">
      <c r="A269" s="2" t="s">
        <v>378</v>
      </c>
      <c r="B269" s="2" t="s">
        <v>240</v>
      </c>
      <c r="C269" s="2" t="s">
        <v>432</v>
      </c>
      <c r="D269" s="2">
        <v>0</v>
      </c>
      <c r="E269" s="2" t="s">
        <v>433</v>
      </c>
      <c r="F269" s="5">
        <v>46230</v>
      </c>
      <c r="G269" s="2" t="s">
        <v>384</v>
      </c>
      <c r="H269" s="2">
        <v>200</v>
      </c>
    </row>
    <row r="270" spans="1:8">
      <c r="A270" s="2" t="s">
        <v>378</v>
      </c>
      <c r="B270" s="2" t="s">
        <v>240</v>
      </c>
      <c r="C270" s="2" t="s">
        <v>420</v>
      </c>
      <c r="D270" s="2">
        <v>0</v>
      </c>
      <c r="E270" s="2" t="s">
        <v>446</v>
      </c>
      <c r="F270" s="5">
        <v>46230</v>
      </c>
      <c r="G270" s="2" t="s">
        <v>384</v>
      </c>
      <c r="H270" s="2">
        <v>200</v>
      </c>
    </row>
    <row r="271" spans="1:8">
      <c r="A271" s="2" t="s">
        <v>378</v>
      </c>
      <c r="B271" s="2" t="s">
        <v>240</v>
      </c>
      <c r="C271" s="2" t="s">
        <v>430</v>
      </c>
      <c r="D271" s="2">
        <v>10</v>
      </c>
      <c r="E271" s="2" t="s">
        <v>431</v>
      </c>
      <c r="F271" s="5">
        <v>46230</v>
      </c>
      <c r="G271" s="2" t="s">
        <v>384</v>
      </c>
      <c r="H271" s="2">
        <v>200</v>
      </c>
    </row>
    <row r="272" spans="1:8">
      <c r="A272" s="2" t="s">
        <v>378</v>
      </c>
      <c r="B272" s="2" t="s">
        <v>240</v>
      </c>
      <c r="C272" s="2" t="s">
        <v>438</v>
      </c>
      <c r="D272" s="2">
        <v>10</v>
      </c>
      <c r="E272" s="2" t="s">
        <v>463</v>
      </c>
      <c r="F272" s="5">
        <v>46230</v>
      </c>
      <c r="G272" s="2" t="s">
        <v>384</v>
      </c>
      <c r="H272" s="2">
        <v>200</v>
      </c>
    </row>
    <row r="273" spans="1:8">
      <c r="A273" s="2" t="s">
        <v>378</v>
      </c>
      <c r="B273" s="2" t="s">
        <v>240</v>
      </c>
      <c r="C273" s="2" t="s">
        <v>434</v>
      </c>
      <c r="D273" s="2">
        <v>-1</v>
      </c>
      <c r="E273" s="2" t="s">
        <v>451</v>
      </c>
      <c r="F273" s="5">
        <v>46230</v>
      </c>
      <c r="G273" s="2" t="s">
        <v>384</v>
      </c>
      <c r="H273" s="2">
        <v>200</v>
      </c>
    </row>
    <row r="274" spans="1:8">
      <c r="A274" s="2" t="s">
        <v>378</v>
      </c>
      <c r="B274" s="2" t="s">
        <v>240</v>
      </c>
      <c r="C274" s="2" t="s">
        <v>436</v>
      </c>
      <c r="D274" s="2">
        <v>0</v>
      </c>
      <c r="E274" s="2" t="s">
        <v>468</v>
      </c>
      <c r="F274" s="5">
        <v>46230</v>
      </c>
      <c r="G274" s="2" t="s">
        <v>384</v>
      </c>
      <c r="H274" s="2">
        <v>200</v>
      </c>
    </row>
    <row r="275" spans="1:8">
      <c r="A275" s="2" t="s">
        <v>378</v>
      </c>
      <c r="B275" s="2" t="s">
        <v>240</v>
      </c>
      <c r="C275" s="2" t="s">
        <v>440</v>
      </c>
      <c r="D275" s="2">
        <v>0</v>
      </c>
      <c r="E275" s="2" t="s">
        <v>448</v>
      </c>
      <c r="F275" s="5">
        <v>46230</v>
      </c>
      <c r="G275" s="2" t="s">
        <v>384</v>
      </c>
      <c r="H275" s="2">
        <v>200</v>
      </c>
    </row>
    <row r="276" spans="1:8">
      <c r="A276" s="2" t="s">
        <v>386</v>
      </c>
      <c r="B276" s="2" t="s">
        <v>240</v>
      </c>
      <c r="C276" s="2" t="s">
        <v>418</v>
      </c>
      <c r="D276" s="2">
        <v>10</v>
      </c>
      <c r="E276" s="2" t="s">
        <v>442</v>
      </c>
      <c r="F276" s="5">
        <v>46230</v>
      </c>
      <c r="G276" s="2" t="s">
        <v>392</v>
      </c>
      <c r="H276" s="2">
        <v>200</v>
      </c>
    </row>
    <row r="277" spans="1:8">
      <c r="A277" s="2" t="s">
        <v>386</v>
      </c>
      <c r="B277" s="2" t="s">
        <v>240</v>
      </c>
      <c r="C277" s="2" t="s">
        <v>414</v>
      </c>
      <c r="D277" s="2">
        <v>10</v>
      </c>
      <c r="E277" s="2" t="s">
        <v>466</v>
      </c>
      <c r="F277" s="5">
        <v>46230</v>
      </c>
      <c r="G277" s="2" t="s">
        <v>392</v>
      </c>
      <c r="H277" s="2">
        <v>200</v>
      </c>
    </row>
    <row r="278" spans="1:8">
      <c r="A278" s="2" t="s">
        <v>386</v>
      </c>
      <c r="B278" s="2" t="s">
        <v>240</v>
      </c>
      <c r="C278" s="2" t="s">
        <v>420</v>
      </c>
      <c r="D278" s="2">
        <v>10</v>
      </c>
      <c r="E278" s="2" t="s">
        <v>421</v>
      </c>
      <c r="F278" s="5">
        <v>46230</v>
      </c>
      <c r="G278" s="2" t="s">
        <v>392</v>
      </c>
      <c r="H278" s="2">
        <v>200</v>
      </c>
    </row>
    <row r="279" spans="1:8">
      <c r="A279" s="2" t="s">
        <v>386</v>
      </c>
      <c r="B279" s="2" t="s">
        <v>240</v>
      </c>
      <c r="C279" s="2" t="s">
        <v>422</v>
      </c>
      <c r="D279" s="2">
        <v>-1</v>
      </c>
      <c r="E279" s="2" t="s">
        <v>423</v>
      </c>
      <c r="F279" s="5">
        <v>46230</v>
      </c>
      <c r="G279" s="2" t="s">
        <v>392</v>
      </c>
      <c r="H279" s="2">
        <v>200</v>
      </c>
    </row>
    <row r="280" spans="1:8">
      <c r="A280" s="2" t="s">
        <v>386</v>
      </c>
      <c r="B280" s="2" t="s">
        <v>240</v>
      </c>
      <c r="C280" s="2" t="s">
        <v>416</v>
      </c>
      <c r="D280" s="2">
        <v>0</v>
      </c>
      <c r="E280" s="2" t="s">
        <v>417</v>
      </c>
      <c r="F280" s="5">
        <v>46230</v>
      </c>
      <c r="G280" s="2" t="s">
        <v>392</v>
      </c>
      <c r="H280" s="2">
        <v>200</v>
      </c>
    </row>
    <row r="281" spans="1:8">
      <c r="A281" s="2" t="s">
        <v>386</v>
      </c>
      <c r="B281" s="2" t="s">
        <v>240</v>
      </c>
      <c r="C281" s="2" t="s">
        <v>426</v>
      </c>
      <c r="D281" s="2">
        <v>0</v>
      </c>
      <c r="E281" s="2" t="s">
        <v>427</v>
      </c>
      <c r="F281" s="5">
        <v>46230</v>
      </c>
      <c r="G281" s="2" t="s">
        <v>392</v>
      </c>
      <c r="H281" s="2">
        <v>200</v>
      </c>
    </row>
    <row r="282" spans="1:8">
      <c r="A282" s="2" t="s">
        <v>386</v>
      </c>
      <c r="B282" s="2" t="s">
        <v>240</v>
      </c>
      <c r="C282" s="2" t="s">
        <v>424</v>
      </c>
      <c r="D282" s="2">
        <v>10</v>
      </c>
      <c r="E282" s="2" t="s">
        <v>425</v>
      </c>
      <c r="F282" s="5">
        <v>46230</v>
      </c>
      <c r="G282" s="2" t="s">
        <v>392</v>
      </c>
      <c r="H282" s="2">
        <v>200</v>
      </c>
    </row>
    <row r="283" spans="1:8">
      <c r="A283" s="2" t="s">
        <v>386</v>
      </c>
      <c r="B283" s="2" t="s">
        <v>240</v>
      </c>
      <c r="C283" s="2" t="s">
        <v>428</v>
      </c>
      <c r="D283" s="2">
        <v>10</v>
      </c>
      <c r="E283" s="2" t="s">
        <v>429</v>
      </c>
      <c r="F283" s="5">
        <v>46230</v>
      </c>
      <c r="G283" s="2" t="s">
        <v>392</v>
      </c>
      <c r="H283" s="2">
        <v>200</v>
      </c>
    </row>
    <row r="284" spans="1:8">
      <c r="A284" s="2" t="s">
        <v>386</v>
      </c>
      <c r="B284" s="2" t="s">
        <v>240</v>
      </c>
      <c r="C284" s="2" t="s">
        <v>432</v>
      </c>
      <c r="D284" s="2">
        <v>0</v>
      </c>
      <c r="E284" s="2" t="s">
        <v>433</v>
      </c>
      <c r="F284" s="5">
        <v>46230</v>
      </c>
      <c r="G284" s="2" t="s">
        <v>392</v>
      </c>
      <c r="H284" s="2">
        <v>200</v>
      </c>
    </row>
    <row r="285" spans="1:8">
      <c r="A285" s="2" t="s">
        <v>386</v>
      </c>
      <c r="B285" s="2" t="s">
        <v>240</v>
      </c>
      <c r="C285" s="2" t="s">
        <v>430</v>
      </c>
      <c r="D285" s="2">
        <v>10</v>
      </c>
      <c r="E285" s="2" t="s">
        <v>431</v>
      </c>
      <c r="F285" s="5">
        <v>46230</v>
      </c>
      <c r="G285" s="2" t="s">
        <v>392</v>
      </c>
      <c r="H285" s="2">
        <v>200</v>
      </c>
    </row>
    <row r="286" spans="1:8">
      <c r="A286" s="2" t="s">
        <v>386</v>
      </c>
      <c r="B286" s="2" t="s">
        <v>240</v>
      </c>
      <c r="C286" s="2" t="s">
        <v>438</v>
      </c>
      <c r="D286" s="2">
        <v>0</v>
      </c>
      <c r="E286" s="2" t="s">
        <v>439</v>
      </c>
      <c r="F286" s="5">
        <v>46230</v>
      </c>
      <c r="G286" s="2" t="s">
        <v>392</v>
      </c>
      <c r="H286" s="2">
        <v>200</v>
      </c>
    </row>
    <row r="287" spans="1:8">
      <c r="A287" s="2" t="s">
        <v>386</v>
      </c>
      <c r="B287" s="2" t="s">
        <v>240</v>
      </c>
      <c r="C287" s="2" t="s">
        <v>434</v>
      </c>
      <c r="D287" s="2">
        <v>-1</v>
      </c>
      <c r="E287" s="2" t="s">
        <v>451</v>
      </c>
      <c r="F287" s="5">
        <v>46230</v>
      </c>
      <c r="G287" s="2" t="s">
        <v>392</v>
      </c>
      <c r="H287" s="2">
        <v>200</v>
      </c>
    </row>
    <row r="288" spans="1:8">
      <c r="A288" s="2" t="s">
        <v>386</v>
      </c>
      <c r="B288" s="2" t="s">
        <v>240</v>
      </c>
      <c r="C288" s="2" t="s">
        <v>436</v>
      </c>
      <c r="D288" s="2">
        <v>0</v>
      </c>
      <c r="E288" s="2" t="s">
        <v>468</v>
      </c>
      <c r="F288" s="5">
        <v>46230</v>
      </c>
      <c r="G288" s="2" t="s">
        <v>392</v>
      </c>
      <c r="H288" s="2">
        <v>200</v>
      </c>
    </row>
    <row r="289" spans="1:8">
      <c r="A289" s="2" t="s">
        <v>386</v>
      </c>
      <c r="B289" s="2" t="s">
        <v>240</v>
      </c>
      <c r="C289" s="2" t="s">
        <v>440</v>
      </c>
      <c r="D289" s="2">
        <v>0</v>
      </c>
      <c r="E289" s="2" t="s">
        <v>448</v>
      </c>
      <c r="F289" s="5">
        <v>46230</v>
      </c>
      <c r="G289" s="2" t="s">
        <v>392</v>
      </c>
      <c r="H289" s="2">
        <v>200</v>
      </c>
    </row>
    <row r="290" spans="1:8">
      <c r="A290" s="2" t="s">
        <v>393</v>
      </c>
      <c r="B290" s="2" t="s">
        <v>240</v>
      </c>
      <c r="C290" s="2" t="s">
        <v>418</v>
      </c>
      <c r="D290" s="2">
        <v>3</v>
      </c>
      <c r="E290" s="2" t="s">
        <v>499</v>
      </c>
      <c r="F290" s="5">
        <v>46230</v>
      </c>
      <c r="G290" s="2" t="s">
        <v>399</v>
      </c>
      <c r="H290" s="2">
        <v>200</v>
      </c>
    </row>
    <row r="291" spans="1:8">
      <c r="A291" s="2" t="s">
        <v>393</v>
      </c>
      <c r="B291" s="2" t="s">
        <v>240</v>
      </c>
      <c r="C291" s="2" t="s">
        <v>424</v>
      </c>
      <c r="D291" s="2">
        <v>0</v>
      </c>
      <c r="E291" s="2" t="s">
        <v>500</v>
      </c>
      <c r="F291" s="5">
        <v>46230</v>
      </c>
      <c r="G291" s="2" t="s">
        <v>399</v>
      </c>
      <c r="H291" s="2">
        <v>200</v>
      </c>
    </row>
    <row r="292" spans="1:8">
      <c r="A292" s="2" t="s">
        <v>393</v>
      </c>
      <c r="B292" s="2" t="s">
        <v>240</v>
      </c>
      <c r="C292" s="2" t="s">
        <v>414</v>
      </c>
      <c r="D292" s="2">
        <v>10</v>
      </c>
      <c r="E292" s="2" t="s">
        <v>501</v>
      </c>
      <c r="F292" s="5">
        <v>46230</v>
      </c>
      <c r="G292" s="2" t="s">
        <v>399</v>
      </c>
      <c r="H292" s="2">
        <v>200</v>
      </c>
    </row>
    <row r="293" spans="1:8">
      <c r="A293" s="2" t="s">
        <v>393</v>
      </c>
      <c r="B293" s="2" t="s">
        <v>240</v>
      </c>
      <c r="C293" s="2" t="s">
        <v>420</v>
      </c>
      <c r="D293" s="2">
        <v>0</v>
      </c>
      <c r="E293" s="2" t="s">
        <v>421</v>
      </c>
      <c r="F293" s="5">
        <v>46230</v>
      </c>
      <c r="G293" s="2" t="s">
        <v>399</v>
      </c>
      <c r="H293" s="2">
        <v>200</v>
      </c>
    </row>
    <row r="294" spans="1:8">
      <c r="A294" s="2" t="s">
        <v>393</v>
      </c>
      <c r="B294" s="2" t="s">
        <v>240</v>
      </c>
      <c r="C294" s="2" t="s">
        <v>428</v>
      </c>
      <c r="D294" s="2">
        <v>10</v>
      </c>
      <c r="E294" s="2" t="s">
        <v>429</v>
      </c>
      <c r="F294" s="5">
        <v>46230</v>
      </c>
      <c r="G294" s="2" t="s">
        <v>399</v>
      </c>
      <c r="H294" s="2">
        <v>200</v>
      </c>
    </row>
    <row r="295" spans="1:8">
      <c r="A295" s="2" t="s">
        <v>393</v>
      </c>
      <c r="B295" s="2" t="s">
        <v>240</v>
      </c>
      <c r="C295" s="2" t="s">
        <v>426</v>
      </c>
      <c r="D295" s="2">
        <v>0</v>
      </c>
      <c r="E295" s="2" t="s">
        <v>427</v>
      </c>
      <c r="F295" s="5">
        <v>46230</v>
      </c>
      <c r="G295" s="2" t="s">
        <v>399</v>
      </c>
      <c r="H295" s="2">
        <v>200</v>
      </c>
    </row>
    <row r="296" spans="1:8">
      <c r="A296" s="2" t="s">
        <v>393</v>
      </c>
      <c r="B296" s="2" t="s">
        <v>240</v>
      </c>
      <c r="C296" s="2" t="s">
        <v>432</v>
      </c>
      <c r="D296" s="2">
        <v>6</v>
      </c>
      <c r="E296" s="2" t="s">
        <v>502</v>
      </c>
      <c r="F296" s="5">
        <v>46230</v>
      </c>
      <c r="G296" s="2" t="s">
        <v>399</v>
      </c>
      <c r="H296" s="2">
        <v>200</v>
      </c>
    </row>
    <row r="297" spans="1:8">
      <c r="A297" s="2" t="s">
        <v>393</v>
      </c>
      <c r="B297" s="2" t="s">
        <v>240</v>
      </c>
      <c r="C297" s="2" t="s">
        <v>416</v>
      </c>
      <c r="D297" s="2">
        <v>0</v>
      </c>
      <c r="E297" s="2" t="s">
        <v>417</v>
      </c>
      <c r="F297" s="5">
        <v>46230</v>
      </c>
      <c r="G297" s="2" t="s">
        <v>399</v>
      </c>
      <c r="H297" s="2">
        <v>200</v>
      </c>
    </row>
    <row r="298" spans="1:8">
      <c r="A298" s="2" t="s">
        <v>393</v>
      </c>
      <c r="B298" s="2" t="s">
        <v>240</v>
      </c>
      <c r="C298" s="2" t="s">
        <v>430</v>
      </c>
      <c r="D298" s="2">
        <v>10</v>
      </c>
      <c r="E298" s="2" t="s">
        <v>431</v>
      </c>
      <c r="F298" s="5">
        <v>46230</v>
      </c>
      <c r="G298" s="2" t="s">
        <v>399</v>
      </c>
      <c r="H298" s="2">
        <v>200</v>
      </c>
    </row>
    <row r="299" spans="1:8">
      <c r="A299" s="2" t="s">
        <v>393</v>
      </c>
      <c r="B299" s="2" t="s">
        <v>240</v>
      </c>
      <c r="C299" s="2" t="s">
        <v>438</v>
      </c>
      <c r="D299" s="2">
        <v>0</v>
      </c>
      <c r="E299" s="2" t="s">
        <v>439</v>
      </c>
      <c r="F299" s="5">
        <v>46230</v>
      </c>
      <c r="G299" s="2" t="s">
        <v>399</v>
      </c>
      <c r="H299" s="2">
        <v>200</v>
      </c>
    </row>
    <row r="300" spans="1:8">
      <c r="A300" s="2" t="s">
        <v>393</v>
      </c>
      <c r="B300" s="2" t="s">
        <v>240</v>
      </c>
      <c r="C300" s="2" t="s">
        <v>434</v>
      </c>
      <c r="D300" s="2">
        <v>-1</v>
      </c>
      <c r="E300" s="2" t="s">
        <v>451</v>
      </c>
      <c r="F300" s="5">
        <v>46230</v>
      </c>
      <c r="G300" s="2" t="s">
        <v>399</v>
      </c>
      <c r="H300" s="2">
        <v>200</v>
      </c>
    </row>
    <row r="301" spans="1:8">
      <c r="A301" s="2" t="s">
        <v>393</v>
      </c>
      <c r="B301" s="2" t="s">
        <v>240</v>
      </c>
      <c r="C301" s="2" t="s">
        <v>436</v>
      </c>
      <c r="D301" s="2">
        <v>-1</v>
      </c>
      <c r="E301" s="2" t="s">
        <v>437</v>
      </c>
      <c r="F301" s="5">
        <v>46230</v>
      </c>
      <c r="G301" s="2" t="s">
        <v>399</v>
      </c>
      <c r="H301" s="2">
        <v>200</v>
      </c>
    </row>
    <row r="302" spans="1:8">
      <c r="A302" s="2" t="s">
        <v>393</v>
      </c>
      <c r="B302" s="2" t="s">
        <v>240</v>
      </c>
      <c r="C302" s="2" t="s">
        <v>422</v>
      </c>
      <c r="D302" s="2">
        <v>10</v>
      </c>
      <c r="E302" s="2" t="s">
        <v>447</v>
      </c>
      <c r="F302" s="5">
        <v>46230</v>
      </c>
      <c r="G302" s="2" t="s">
        <v>399</v>
      </c>
      <c r="H302" s="2">
        <v>200</v>
      </c>
    </row>
    <row r="303" spans="1:8">
      <c r="A303" s="2" t="s">
        <v>393</v>
      </c>
      <c r="B303" s="2" t="s">
        <v>240</v>
      </c>
      <c r="C303" s="2" t="s">
        <v>440</v>
      </c>
      <c r="D303" s="2">
        <v>7</v>
      </c>
      <c r="E303" s="2" t="s">
        <v>503</v>
      </c>
      <c r="F303" s="5">
        <v>46230</v>
      </c>
      <c r="G303" s="2" t="s">
        <v>399</v>
      </c>
      <c r="H303" s="2">
        <v>200</v>
      </c>
    </row>
    <row r="304" spans="1:8">
      <c r="A304" s="2" t="s">
        <v>400</v>
      </c>
      <c r="B304" s="2" t="s">
        <v>240</v>
      </c>
      <c r="C304" s="2" t="s">
        <v>411</v>
      </c>
      <c r="D304" s="2"/>
      <c r="E304" s="2" t="s">
        <v>412</v>
      </c>
      <c r="F304" s="5"/>
      <c r="G304" s="2" t="s">
        <v>406</v>
      </c>
      <c r="H304" s="2">
        <v>406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topLeftCell="A18" workbookViewId="0"/>
  </sheetViews>
  <sheetFormatPr baseColWidth="10" defaultColWidth="9" defaultRowHeight="14.25"/>
  <cols>
    <col min="1" max="1" width="34" customWidth="1"/>
    <col min="2" max="2" width="26" customWidth="1"/>
    <col min="3" max="3" width="82" customWidth="1"/>
    <col min="4" max="6" width="30" customWidth="1"/>
  </cols>
  <sheetData>
    <row r="1" spans="1:6" ht="33.950000000000003" customHeight="1">
      <c r="A1" s="1" t="s">
        <v>504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</row>
    <row r="2" spans="1:6" ht="15" customHeight="1">
      <c r="A2" s="2" t="s">
        <v>30</v>
      </c>
      <c r="B2" s="2" t="s">
        <v>510</v>
      </c>
      <c r="C2" s="2" t="s">
        <v>511</v>
      </c>
      <c r="D2" s="2" t="s">
        <v>512</v>
      </c>
      <c r="E2" s="2" t="s">
        <v>513</v>
      </c>
      <c r="F2" s="2" t="s">
        <v>514</v>
      </c>
    </row>
    <row r="3" spans="1:6" ht="15" customHeight="1">
      <c r="A3" s="2" t="s">
        <v>32</v>
      </c>
      <c r="B3" s="2" t="s">
        <v>515</v>
      </c>
      <c r="C3" s="2" t="s">
        <v>516</v>
      </c>
      <c r="D3" s="2" t="s">
        <v>517</v>
      </c>
      <c r="E3" s="2" t="s">
        <v>518</v>
      </c>
      <c r="F3" s="2" t="s">
        <v>519</v>
      </c>
    </row>
    <row r="4" spans="1:6" ht="15" customHeight="1">
      <c r="A4" s="2" t="s">
        <v>35</v>
      </c>
      <c r="B4" s="2" t="s">
        <v>520</v>
      </c>
      <c r="C4" s="2" t="s">
        <v>521</v>
      </c>
      <c r="D4" s="2" t="s">
        <v>522</v>
      </c>
      <c r="E4" s="2" t="s">
        <v>518</v>
      </c>
      <c r="F4" s="2" t="s">
        <v>523</v>
      </c>
    </row>
    <row r="5" spans="1:6" ht="15" customHeight="1">
      <c r="A5" s="2" t="s">
        <v>37</v>
      </c>
      <c r="B5" s="2" t="s">
        <v>510</v>
      </c>
      <c r="C5" s="2" t="s">
        <v>524</v>
      </c>
      <c r="D5" s="2" t="s">
        <v>517</v>
      </c>
      <c r="E5" s="2" t="s">
        <v>525</v>
      </c>
      <c r="F5" s="2" t="s">
        <v>526</v>
      </c>
    </row>
    <row r="6" spans="1:6" ht="15" customHeight="1">
      <c r="A6" s="2" t="s">
        <v>45</v>
      </c>
      <c r="B6" s="2" t="s">
        <v>527</v>
      </c>
      <c r="C6" s="2" t="s">
        <v>528</v>
      </c>
      <c r="D6" s="2" t="s">
        <v>529</v>
      </c>
      <c r="E6" s="2" t="s">
        <v>530</v>
      </c>
      <c r="F6" s="2" t="s">
        <v>531</v>
      </c>
    </row>
    <row r="7" spans="1:6" ht="15" customHeight="1">
      <c r="A7" s="2" t="s">
        <v>55</v>
      </c>
      <c r="B7" s="2" t="s">
        <v>532</v>
      </c>
      <c r="C7" s="2" t="s">
        <v>533</v>
      </c>
      <c r="D7" s="2" t="s">
        <v>534</v>
      </c>
      <c r="E7" s="2" t="s">
        <v>535</v>
      </c>
      <c r="F7" s="2" t="s">
        <v>536</v>
      </c>
    </row>
    <row r="8" spans="1:6" ht="15" customHeight="1">
      <c r="A8" s="2" t="s">
        <v>56</v>
      </c>
      <c r="B8" s="2" t="s">
        <v>537</v>
      </c>
      <c r="C8" s="2" t="s">
        <v>538</v>
      </c>
      <c r="D8" s="2" t="s">
        <v>534</v>
      </c>
      <c r="E8" s="2" t="s">
        <v>535</v>
      </c>
      <c r="F8" s="2" t="s">
        <v>539</v>
      </c>
    </row>
    <row r="9" spans="1:6" ht="15" customHeight="1">
      <c r="A9" s="2" t="s">
        <v>57</v>
      </c>
      <c r="B9" s="2" t="s">
        <v>540</v>
      </c>
      <c r="C9" s="2" t="s">
        <v>541</v>
      </c>
      <c r="D9" s="2" t="s">
        <v>534</v>
      </c>
      <c r="E9" s="2" t="s">
        <v>535</v>
      </c>
      <c r="F9" s="2" t="s">
        <v>542</v>
      </c>
    </row>
    <row r="10" spans="1:6" ht="15" customHeight="1">
      <c r="A10" s="2" t="s">
        <v>58</v>
      </c>
      <c r="B10" s="2" t="s">
        <v>520</v>
      </c>
      <c r="C10" s="2" t="s">
        <v>543</v>
      </c>
      <c r="D10" s="2" t="s">
        <v>544</v>
      </c>
      <c r="E10" s="2" t="s">
        <v>535</v>
      </c>
      <c r="F10" s="2" t="s">
        <v>545</v>
      </c>
    </row>
    <row r="11" spans="1:6" ht="15" customHeight="1">
      <c r="A11" s="2" t="s">
        <v>59</v>
      </c>
      <c r="B11" s="2" t="s">
        <v>546</v>
      </c>
      <c r="C11" s="2" t="s">
        <v>547</v>
      </c>
      <c r="D11" s="2" t="s">
        <v>534</v>
      </c>
      <c r="E11" s="2" t="s">
        <v>548</v>
      </c>
      <c r="F11" s="2" t="s">
        <v>549</v>
      </c>
    </row>
    <row r="12" spans="1:6" ht="15" customHeight="1">
      <c r="A12" s="2" t="s">
        <v>60</v>
      </c>
      <c r="B12" s="2" t="s">
        <v>546</v>
      </c>
      <c r="C12" s="2" t="s">
        <v>550</v>
      </c>
      <c r="D12" s="2" t="s">
        <v>534</v>
      </c>
      <c r="E12" s="2" t="s">
        <v>548</v>
      </c>
      <c r="F12" s="2" t="s">
        <v>551</v>
      </c>
    </row>
    <row r="13" spans="1:6" ht="15" customHeight="1">
      <c r="A13" s="2" t="s">
        <v>61</v>
      </c>
      <c r="B13" s="2" t="s">
        <v>552</v>
      </c>
      <c r="C13" s="2" t="s">
        <v>553</v>
      </c>
      <c r="D13" s="2" t="s">
        <v>534</v>
      </c>
      <c r="E13" s="2" t="s">
        <v>548</v>
      </c>
      <c r="F13" s="2" t="s">
        <v>554</v>
      </c>
    </row>
    <row r="14" spans="1:6" ht="15" customHeight="1">
      <c r="A14" s="2" t="s">
        <v>62</v>
      </c>
      <c r="B14" s="2" t="s">
        <v>520</v>
      </c>
      <c r="C14" s="2" t="s">
        <v>555</v>
      </c>
      <c r="D14" s="2" t="s">
        <v>534</v>
      </c>
      <c r="E14" s="2" t="s">
        <v>548</v>
      </c>
      <c r="F14" s="2" t="s">
        <v>554</v>
      </c>
    </row>
    <row r="15" spans="1:6" ht="15" customHeight="1">
      <c r="A15" s="2" t="s">
        <v>65</v>
      </c>
      <c r="B15" s="2" t="s">
        <v>556</v>
      </c>
      <c r="C15" s="2" t="s">
        <v>557</v>
      </c>
      <c r="D15" s="2" t="s">
        <v>558</v>
      </c>
      <c r="E15" s="2" t="s">
        <v>559</v>
      </c>
      <c r="F15" s="2" t="s">
        <v>560</v>
      </c>
    </row>
    <row r="16" spans="1:6" ht="15" customHeight="1">
      <c r="A16" s="2" t="s">
        <v>68</v>
      </c>
      <c r="B16" s="2" t="s">
        <v>546</v>
      </c>
      <c r="C16" s="2" t="s">
        <v>561</v>
      </c>
      <c r="D16" s="2" t="s">
        <v>562</v>
      </c>
      <c r="E16" s="2" t="s">
        <v>559</v>
      </c>
      <c r="F16" s="2" t="s">
        <v>563</v>
      </c>
    </row>
    <row r="17" spans="1:6" ht="15" customHeight="1">
      <c r="A17" s="2" t="s">
        <v>70</v>
      </c>
      <c r="B17" s="2" t="s">
        <v>564</v>
      </c>
      <c r="C17" s="2" t="s">
        <v>565</v>
      </c>
      <c r="D17" s="2" t="s">
        <v>566</v>
      </c>
      <c r="E17" s="2" t="s">
        <v>567</v>
      </c>
      <c r="F17" s="2" t="s">
        <v>568</v>
      </c>
    </row>
    <row r="18" spans="1:6" ht="15" customHeight="1">
      <c r="A18" s="2" t="s">
        <v>71</v>
      </c>
      <c r="B18" s="2" t="s">
        <v>569</v>
      </c>
      <c r="C18" s="2" t="s">
        <v>570</v>
      </c>
      <c r="D18" s="2" t="s">
        <v>544</v>
      </c>
      <c r="E18" s="2" t="s">
        <v>567</v>
      </c>
      <c r="F18" s="2" t="s">
        <v>571</v>
      </c>
    </row>
    <row r="19" spans="1:6" ht="15" customHeight="1">
      <c r="A19" s="2" t="s">
        <v>72</v>
      </c>
      <c r="B19" s="2" t="s">
        <v>520</v>
      </c>
      <c r="C19" s="2" t="s">
        <v>572</v>
      </c>
      <c r="D19" s="2" t="s">
        <v>562</v>
      </c>
      <c r="E19" s="2" t="s">
        <v>567</v>
      </c>
      <c r="F19" s="2" t="s">
        <v>573</v>
      </c>
    </row>
    <row r="20" spans="1:6" ht="15" customHeight="1">
      <c r="A20" s="2" t="s">
        <v>73</v>
      </c>
      <c r="B20" s="2" t="s">
        <v>520</v>
      </c>
      <c r="C20" s="2" t="s">
        <v>574</v>
      </c>
      <c r="D20" s="2" t="s">
        <v>562</v>
      </c>
      <c r="E20" s="2" t="s">
        <v>567</v>
      </c>
      <c r="F20" s="2" t="s">
        <v>575</v>
      </c>
    </row>
    <row r="21" spans="1:6" ht="15" customHeight="1">
      <c r="A21" s="2" t="s">
        <v>74</v>
      </c>
      <c r="B21" s="2" t="s">
        <v>576</v>
      </c>
      <c r="C21" s="2" t="s">
        <v>577</v>
      </c>
      <c r="D21" s="2" t="s">
        <v>562</v>
      </c>
      <c r="E21" s="2" t="s">
        <v>567</v>
      </c>
      <c r="F21" s="2" t="s">
        <v>578</v>
      </c>
    </row>
    <row r="22" spans="1:6" ht="15" customHeight="1">
      <c r="A22" s="2" t="s">
        <v>75</v>
      </c>
      <c r="B22" s="2" t="s">
        <v>579</v>
      </c>
      <c r="C22" s="2" t="s">
        <v>580</v>
      </c>
      <c r="D22" s="2" t="s">
        <v>562</v>
      </c>
      <c r="E22" s="2" t="s">
        <v>581</v>
      </c>
      <c r="F22" s="2" t="s">
        <v>582</v>
      </c>
    </row>
    <row r="23" spans="1:6" ht="15" customHeight="1">
      <c r="A23" s="2" t="s">
        <v>76</v>
      </c>
      <c r="B23" s="2" t="s">
        <v>583</v>
      </c>
      <c r="C23" s="2" t="s">
        <v>584</v>
      </c>
      <c r="D23" s="2" t="s">
        <v>585</v>
      </c>
      <c r="E23" s="2" t="s">
        <v>586</v>
      </c>
      <c r="F23" s="2" t="s">
        <v>587</v>
      </c>
    </row>
    <row r="24" spans="1:6" ht="15" customHeight="1">
      <c r="A24" s="2" t="s">
        <v>77</v>
      </c>
      <c r="B24" s="2" t="s">
        <v>583</v>
      </c>
      <c r="C24" s="2" t="s">
        <v>588</v>
      </c>
      <c r="D24" s="2" t="s">
        <v>585</v>
      </c>
      <c r="E24" s="2" t="s">
        <v>586</v>
      </c>
      <c r="F24" s="2" t="s">
        <v>589</v>
      </c>
    </row>
    <row r="25" spans="1:6" ht="15" customHeight="1">
      <c r="A25" s="2" t="s">
        <v>78</v>
      </c>
      <c r="B25" s="2" t="s">
        <v>583</v>
      </c>
      <c r="C25" s="2" t="s">
        <v>590</v>
      </c>
      <c r="D25" s="2" t="s">
        <v>585</v>
      </c>
      <c r="E25" s="2" t="s">
        <v>586</v>
      </c>
      <c r="F25" s="2" t="s">
        <v>591</v>
      </c>
    </row>
    <row r="26" spans="1:6" ht="15" customHeight="1">
      <c r="A26" s="2" t="s">
        <v>79</v>
      </c>
      <c r="B26" s="2" t="s">
        <v>583</v>
      </c>
      <c r="C26" s="2" t="s">
        <v>592</v>
      </c>
      <c r="D26" s="2" t="s">
        <v>585</v>
      </c>
      <c r="E26" s="2" t="s">
        <v>586</v>
      </c>
      <c r="F26" s="2" t="s">
        <v>593</v>
      </c>
    </row>
    <row r="27" spans="1:6" ht="15" customHeight="1">
      <c r="A27" s="2" t="s">
        <v>80</v>
      </c>
      <c r="B27" s="2" t="s">
        <v>583</v>
      </c>
      <c r="C27" s="2" t="s">
        <v>594</v>
      </c>
      <c r="D27" s="2" t="s">
        <v>585</v>
      </c>
      <c r="E27" s="2" t="s">
        <v>586</v>
      </c>
      <c r="F27" s="2" t="s">
        <v>595</v>
      </c>
    </row>
    <row r="28" spans="1:6" ht="15" customHeight="1">
      <c r="A28" s="2" t="s">
        <v>40</v>
      </c>
      <c r="B28" s="2" t="s">
        <v>520</v>
      </c>
      <c r="C28" s="2" t="s">
        <v>596</v>
      </c>
      <c r="D28" s="2" t="s">
        <v>522</v>
      </c>
      <c r="E28" s="2" t="s">
        <v>597</v>
      </c>
      <c r="F28" s="2" t="s">
        <v>598</v>
      </c>
    </row>
    <row r="29" spans="1:6" ht="15" customHeight="1">
      <c r="A29" s="2" t="s">
        <v>41</v>
      </c>
      <c r="B29" s="2" t="s">
        <v>520</v>
      </c>
      <c r="C29" s="2" t="s">
        <v>599</v>
      </c>
      <c r="D29" s="2" t="s">
        <v>522</v>
      </c>
      <c r="E29" s="2" t="s">
        <v>600</v>
      </c>
      <c r="F29" s="2" t="s">
        <v>601</v>
      </c>
    </row>
    <row r="30" spans="1:6" ht="15" customHeight="1">
      <c r="A30" s="2" t="s">
        <v>43</v>
      </c>
      <c r="B30" s="2" t="s">
        <v>602</v>
      </c>
      <c r="C30" s="2" t="s">
        <v>603</v>
      </c>
      <c r="D30" s="2" t="s">
        <v>604</v>
      </c>
      <c r="E30" s="2" t="s">
        <v>605</v>
      </c>
      <c r="F30" s="2" t="s">
        <v>606</v>
      </c>
    </row>
    <row r="31" spans="1:6" ht="15" customHeight="1">
      <c r="A31" s="2" t="s">
        <v>83</v>
      </c>
      <c r="B31" s="2" t="s">
        <v>602</v>
      </c>
      <c r="C31" s="2" t="s">
        <v>607</v>
      </c>
      <c r="D31" s="2" t="s">
        <v>517</v>
      </c>
      <c r="E31" s="2" t="s">
        <v>608</v>
      </c>
      <c r="F31" s="2" t="s">
        <v>609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opLeftCell="A9" workbookViewId="0">
      <selection activeCell="C15" sqref="C15"/>
    </sheetView>
  </sheetViews>
  <sheetFormatPr baseColWidth="10" defaultColWidth="9" defaultRowHeight="14.25"/>
  <cols>
    <col min="1" max="1" width="20" customWidth="1"/>
    <col min="2" max="6" width="38" customWidth="1"/>
    <col min="7" max="7" width="28" customWidth="1"/>
  </cols>
  <sheetData>
    <row r="1" spans="1:7" ht="32.1" customHeight="1">
      <c r="A1" s="12" t="s">
        <v>610</v>
      </c>
      <c r="B1" s="12" t="s">
        <v>610</v>
      </c>
      <c r="C1" s="12" t="s">
        <v>610</v>
      </c>
      <c r="D1" s="12" t="s">
        <v>610</v>
      </c>
      <c r="E1" s="12" t="s">
        <v>610</v>
      </c>
      <c r="F1" s="12" t="s">
        <v>610</v>
      </c>
      <c r="G1" s="12" t="s">
        <v>610</v>
      </c>
    </row>
    <row r="2" spans="1:7" ht="32.1" customHeight="1">
      <c r="A2" s="12" t="s">
        <v>610</v>
      </c>
      <c r="B2" s="12" t="s">
        <v>610</v>
      </c>
      <c r="C2" s="12" t="s">
        <v>610</v>
      </c>
      <c r="D2" s="12" t="s">
        <v>610</v>
      </c>
      <c r="E2" s="12" t="s">
        <v>610</v>
      </c>
      <c r="F2" s="12" t="s">
        <v>610</v>
      </c>
      <c r="G2" s="12" t="s">
        <v>610</v>
      </c>
    </row>
    <row r="3" spans="1:7">
      <c r="A3" s="2"/>
      <c r="B3" s="2"/>
      <c r="C3" s="2"/>
      <c r="D3" s="2"/>
      <c r="E3" s="2"/>
      <c r="F3" s="2"/>
      <c r="G3" s="2"/>
    </row>
    <row r="4" spans="1:7" ht="33.950000000000003" customHeight="1">
      <c r="A4" s="1" t="s">
        <v>611</v>
      </c>
      <c r="B4" s="1" t="s">
        <v>612</v>
      </c>
      <c r="C4" s="1" t="s">
        <v>613</v>
      </c>
      <c r="D4" s="1" t="s">
        <v>614</v>
      </c>
      <c r="E4" s="1" t="s">
        <v>615</v>
      </c>
      <c r="F4" s="1" t="s">
        <v>616</v>
      </c>
      <c r="G4" s="1" t="s">
        <v>617</v>
      </c>
    </row>
    <row r="5" spans="1:7" ht="26.45" customHeight="1">
      <c r="A5" s="4" t="s">
        <v>618</v>
      </c>
      <c r="B5" s="4" t="s">
        <v>619</v>
      </c>
      <c r="C5" s="4" t="s">
        <v>620</v>
      </c>
      <c r="D5" s="4" t="s">
        <v>621</v>
      </c>
      <c r="E5" s="4" t="s">
        <v>622</v>
      </c>
      <c r="F5" s="4" t="s">
        <v>623</v>
      </c>
      <c r="G5" s="4" t="s">
        <v>11</v>
      </c>
    </row>
    <row r="6" spans="1:7" ht="26.45" customHeight="1">
      <c r="A6" s="4" t="s">
        <v>624</v>
      </c>
      <c r="B6" s="4" t="s">
        <v>625</v>
      </c>
      <c r="C6" s="4" t="s">
        <v>626</v>
      </c>
      <c r="D6" s="4" t="s">
        <v>627</v>
      </c>
      <c r="E6" s="4" t="s">
        <v>628</v>
      </c>
      <c r="F6" s="4" t="s">
        <v>629</v>
      </c>
      <c r="G6" s="4" t="s">
        <v>11</v>
      </c>
    </row>
    <row r="7" spans="1:7" ht="26.45" customHeight="1">
      <c r="A7" s="4" t="s">
        <v>630</v>
      </c>
      <c r="B7" s="4" t="s">
        <v>631</v>
      </c>
      <c r="C7" s="4" t="s">
        <v>632</v>
      </c>
      <c r="D7" s="4" t="s">
        <v>633</v>
      </c>
      <c r="E7" s="4" t="s">
        <v>634</v>
      </c>
      <c r="F7" s="4" t="s">
        <v>635</v>
      </c>
      <c r="G7" s="4" t="s">
        <v>11</v>
      </c>
    </row>
    <row r="8" spans="1:7" ht="15" customHeight="1">
      <c r="A8" s="4" t="s">
        <v>636</v>
      </c>
      <c r="B8" s="4" t="s">
        <v>637</v>
      </c>
      <c r="C8" s="4" t="s">
        <v>638</v>
      </c>
      <c r="D8" s="4" t="s">
        <v>639</v>
      </c>
      <c r="E8" s="4" t="s">
        <v>640</v>
      </c>
      <c r="F8" s="4" t="s">
        <v>641</v>
      </c>
      <c r="G8" s="4" t="s">
        <v>13</v>
      </c>
    </row>
    <row r="9" spans="1:7" ht="15" customHeight="1">
      <c r="A9" s="4" t="s">
        <v>642</v>
      </c>
      <c r="B9" s="4" t="s">
        <v>643</v>
      </c>
      <c r="C9" s="4" t="s">
        <v>644</v>
      </c>
      <c r="D9" s="4" t="s">
        <v>645</v>
      </c>
      <c r="E9" s="4" t="s">
        <v>646</v>
      </c>
      <c r="F9" s="4" t="s">
        <v>647</v>
      </c>
      <c r="G9" s="4" t="s">
        <v>13</v>
      </c>
    </row>
    <row r="10" spans="1:7" ht="15" customHeight="1">
      <c r="A10" s="4" t="s">
        <v>600</v>
      </c>
      <c r="B10" s="4" t="s">
        <v>648</v>
      </c>
      <c r="C10" s="4" t="s">
        <v>649</v>
      </c>
      <c r="D10" s="4" t="s">
        <v>650</v>
      </c>
      <c r="E10" s="4" t="s">
        <v>651</v>
      </c>
      <c r="F10" s="4" t="s">
        <v>652</v>
      </c>
      <c r="G10" s="4" t="s">
        <v>11</v>
      </c>
    </row>
    <row r="11" spans="1:7" ht="26.45" customHeight="1">
      <c r="A11" s="4" t="s">
        <v>653</v>
      </c>
      <c r="B11" s="4" t="s">
        <v>654</v>
      </c>
      <c r="C11" s="4" t="s">
        <v>655</v>
      </c>
      <c r="D11" s="4" t="s">
        <v>656</v>
      </c>
      <c r="E11" s="4" t="s">
        <v>657</v>
      </c>
      <c r="F11" s="4" t="s">
        <v>658</v>
      </c>
      <c r="G11" s="4" t="s">
        <v>13</v>
      </c>
    </row>
    <row r="12" spans="1:7" ht="26.45" customHeight="1">
      <c r="A12" s="4" t="s">
        <v>659</v>
      </c>
      <c r="B12" s="4" t="s">
        <v>660</v>
      </c>
      <c r="C12" s="4" t="s">
        <v>661</v>
      </c>
      <c r="D12" s="4" t="s">
        <v>662</v>
      </c>
      <c r="E12" s="4" t="s">
        <v>663</v>
      </c>
      <c r="F12" s="4" t="s">
        <v>664</v>
      </c>
      <c r="G12" s="4" t="s">
        <v>13</v>
      </c>
    </row>
    <row r="13" spans="1:7">
      <c r="A13" s="2"/>
      <c r="B13" s="2"/>
      <c r="C13" s="2"/>
      <c r="D13" s="2"/>
      <c r="E13" s="2"/>
      <c r="F13" s="2"/>
      <c r="G13" s="2"/>
    </row>
    <row r="14" spans="1:7" ht="33.950000000000003" customHeight="1">
      <c r="A14" s="1" t="s">
        <v>665</v>
      </c>
      <c r="B14" s="1" t="s">
        <v>666</v>
      </c>
      <c r="C14" s="1" t="s">
        <v>667</v>
      </c>
      <c r="D14" s="1" t="s">
        <v>668</v>
      </c>
      <c r="E14" s="1" t="s">
        <v>669</v>
      </c>
      <c r="F14" s="1" t="s">
        <v>670</v>
      </c>
      <c r="G14" s="1" t="s">
        <v>671</v>
      </c>
    </row>
    <row r="15" spans="1:7" ht="26.45" customHeight="1">
      <c r="A15" s="4" t="s">
        <v>672</v>
      </c>
      <c r="B15" s="4" t="s">
        <v>673</v>
      </c>
      <c r="C15" s="4" t="s">
        <v>674</v>
      </c>
      <c r="D15" s="4" t="s">
        <v>585</v>
      </c>
      <c r="E15" s="4" t="s">
        <v>675</v>
      </c>
      <c r="F15" s="4" t="s">
        <v>676</v>
      </c>
      <c r="G15" s="4" t="s">
        <v>677</v>
      </c>
    </row>
    <row r="16" spans="1:7" ht="26.45" customHeight="1">
      <c r="A16" s="4" t="s">
        <v>556</v>
      </c>
      <c r="B16" s="4" t="s">
        <v>678</v>
      </c>
      <c r="C16" s="4" t="s">
        <v>679</v>
      </c>
      <c r="D16" s="4" t="s">
        <v>585</v>
      </c>
      <c r="E16" s="4" t="s">
        <v>680</v>
      </c>
      <c r="F16" s="4" t="s">
        <v>681</v>
      </c>
      <c r="G16" s="4" t="s">
        <v>682</v>
      </c>
    </row>
    <row r="17" spans="1:7" ht="26.45" customHeight="1">
      <c r="A17" s="4" t="s">
        <v>546</v>
      </c>
      <c r="B17" s="4" t="s">
        <v>683</v>
      </c>
      <c r="C17" s="4" t="s">
        <v>684</v>
      </c>
      <c r="D17" s="4" t="s">
        <v>585</v>
      </c>
      <c r="E17" s="4" t="s">
        <v>685</v>
      </c>
      <c r="F17" s="4" t="s">
        <v>676</v>
      </c>
      <c r="G17" s="4" t="s">
        <v>686</v>
      </c>
    </row>
    <row r="18" spans="1:7" ht="26.45" customHeight="1">
      <c r="A18" s="4" t="s">
        <v>520</v>
      </c>
      <c r="B18" s="4" t="s">
        <v>687</v>
      </c>
      <c r="C18" s="4" t="s">
        <v>688</v>
      </c>
      <c r="D18" s="4" t="s">
        <v>585</v>
      </c>
      <c r="E18" s="4" t="s">
        <v>689</v>
      </c>
      <c r="F18" s="4" t="s">
        <v>676</v>
      </c>
      <c r="G18" s="4" t="s">
        <v>690</v>
      </c>
    </row>
    <row r="19" spans="1:7" ht="15" customHeight="1">
      <c r="A19" s="4" t="s">
        <v>691</v>
      </c>
      <c r="B19" s="4" t="s">
        <v>692</v>
      </c>
      <c r="C19" s="4" t="s">
        <v>693</v>
      </c>
      <c r="D19" s="4" t="s">
        <v>585</v>
      </c>
      <c r="E19" s="4" t="s">
        <v>694</v>
      </c>
      <c r="F19" s="4" t="s">
        <v>695</v>
      </c>
      <c r="G19" s="4" t="s">
        <v>696</v>
      </c>
    </row>
    <row r="20" spans="1:7" ht="15" customHeight="1">
      <c r="A20" s="4" t="s">
        <v>697</v>
      </c>
      <c r="B20" s="4" t="s">
        <v>698</v>
      </c>
      <c r="C20" s="4" t="s">
        <v>699</v>
      </c>
      <c r="D20" s="4" t="s">
        <v>700</v>
      </c>
      <c r="E20" s="4" t="s">
        <v>701</v>
      </c>
      <c r="F20" s="4" t="s">
        <v>702</v>
      </c>
      <c r="G20" s="4" t="s">
        <v>703</v>
      </c>
    </row>
  </sheetData>
  <mergeCells count="1"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topLeftCell="A32" workbookViewId="0">
      <selection sqref="A1:J2"/>
    </sheetView>
  </sheetViews>
  <sheetFormatPr baseColWidth="10" defaultColWidth="9" defaultRowHeight="14.25"/>
  <cols>
    <col min="1" max="1" width="34" customWidth="1"/>
    <col min="2" max="9" width="18" customWidth="1"/>
    <col min="10" max="10" width="36" customWidth="1"/>
  </cols>
  <sheetData>
    <row r="1" spans="1:10" ht="32.1" customHeight="1">
      <c r="A1" s="12" t="s">
        <v>704</v>
      </c>
      <c r="B1" s="12" t="s">
        <v>704</v>
      </c>
      <c r="C1" s="12" t="s">
        <v>704</v>
      </c>
      <c r="D1" s="12" t="s">
        <v>704</v>
      </c>
      <c r="E1" s="12" t="s">
        <v>704</v>
      </c>
      <c r="F1" s="12" t="s">
        <v>704</v>
      </c>
      <c r="G1" s="12" t="s">
        <v>704</v>
      </c>
      <c r="H1" s="12" t="s">
        <v>704</v>
      </c>
      <c r="I1" s="12" t="s">
        <v>704</v>
      </c>
      <c r="J1" s="12" t="s">
        <v>704</v>
      </c>
    </row>
    <row r="2" spans="1:10" ht="32.1" customHeight="1">
      <c r="A2" s="12" t="s">
        <v>704</v>
      </c>
      <c r="B2" s="12" t="s">
        <v>704</v>
      </c>
      <c r="C2" s="12" t="s">
        <v>704</v>
      </c>
      <c r="D2" s="12" t="s">
        <v>704</v>
      </c>
      <c r="E2" s="12" t="s">
        <v>704</v>
      </c>
      <c r="F2" s="12" t="s">
        <v>704</v>
      </c>
      <c r="G2" s="12" t="s">
        <v>704</v>
      </c>
      <c r="H2" s="12" t="s">
        <v>704</v>
      </c>
      <c r="I2" s="12" t="s">
        <v>704</v>
      </c>
      <c r="J2" s="12" t="s">
        <v>704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33.950000000000003" customHeight="1">
      <c r="A4" s="1" t="s">
        <v>665</v>
      </c>
      <c r="B4" s="1" t="s">
        <v>705</v>
      </c>
      <c r="C4" s="1" t="s">
        <v>706</v>
      </c>
      <c r="D4" s="1" t="s">
        <v>707</v>
      </c>
      <c r="E4" s="1" t="s">
        <v>708</v>
      </c>
      <c r="F4" s="1" t="s">
        <v>709</v>
      </c>
      <c r="G4" s="1" t="s">
        <v>710</v>
      </c>
      <c r="H4" s="1" t="s">
        <v>711</v>
      </c>
      <c r="I4" s="1" t="s">
        <v>712</v>
      </c>
      <c r="J4" s="1" t="s">
        <v>713</v>
      </c>
    </row>
    <row r="5" spans="1:10" ht="15" customHeight="1">
      <c r="A5" s="4" t="s">
        <v>672</v>
      </c>
      <c r="B5" s="4">
        <v>24</v>
      </c>
      <c r="C5" s="8">
        <v>3.5416666666666665</v>
      </c>
      <c r="D5" s="8">
        <v>2.5</v>
      </c>
      <c r="E5" s="8">
        <v>3.4362728376094869</v>
      </c>
      <c r="F5" s="8">
        <v>24</v>
      </c>
      <c r="G5" s="8">
        <v>7.239583333333333</v>
      </c>
      <c r="H5" s="8">
        <v>7.5</v>
      </c>
      <c r="I5" s="8">
        <v>2.6142161168880245</v>
      </c>
      <c r="J5" s="4" t="s">
        <v>714</v>
      </c>
    </row>
    <row r="6" spans="1:10" ht="15" customHeight="1">
      <c r="A6" s="4" t="s">
        <v>556</v>
      </c>
      <c r="B6" s="4">
        <v>24</v>
      </c>
      <c r="C6" s="8">
        <v>0.90277777777777779</v>
      </c>
      <c r="D6" s="8">
        <v>0</v>
      </c>
      <c r="E6" s="8">
        <v>1.3882848928225395</v>
      </c>
      <c r="F6" s="8">
        <v>24</v>
      </c>
      <c r="G6" s="8">
        <v>2.6388888888888888</v>
      </c>
      <c r="H6" s="8">
        <v>1.6666666666666667</v>
      </c>
      <c r="I6" s="8">
        <v>1.9607665529175722</v>
      </c>
      <c r="J6" s="4" t="s">
        <v>715</v>
      </c>
    </row>
    <row r="7" spans="1:10" ht="15" customHeight="1">
      <c r="A7" s="4" t="s">
        <v>546</v>
      </c>
      <c r="B7" s="4">
        <v>24</v>
      </c>
      <c r="C7" s="8">
        <v>1</v>
      </c>
      <c r="D7" s="8">
        <v>0</v>
      </c>
      <c r="E7" s="8">
        <v>1.5603789952109879</v>
      </c>
      <c r="F7" s="8">
        <v>24</v>
      </c>
      <c r="G7" s="8">
        <v>2.8563422709250674</v>
      </c>
      <c r="H7" s="8">
        <v>3.1408045977011492</v>
      </c>
      <c r="I7" s="8">
        <v>1.933889879973588</v>
      </c>
      <c r="J7" s="4" t="s">
        <v>716</v>
      </c>
    </row>
    <row r="8" spans="1:10" ht="15" customHeight="1">
      <c r="A8" s="4" t="s">
        <v>520</v>
      </c>
      <c r="B8" s="4">
        <v>24</v>
      </c>
      <c r="C8" s="8">
        <v>3.196829150227257</v>
      </c>
      <c r="D8" s="8">
        <v>2.0977812177502582</v>
      </c>
      <c r="E8" s="8">
        <v>2.4780206602286765</v>
      </c>
      <c r="F8" s="8">
        <v>24</v>
      </c>
      <c r="G8" s="8">
        <v>6.0770833333333334</v>
      </c>
      <c r="H8" s="8">
        <v>6.5</v>
      </c>
      <c r="I8" s="8">
        <v>1.4405347613128692</v>
      </c>
      <c r="J8" s="4" t="s">
        <v>717</v>
      </c>
    </row>
    <row r="9" spans="1:10" ht="15" customHeight="1">
      <c r="A9" s="4" t="s">
        <v>691</v>
      </c>
      <c r="B9" s="4">
        <v>24</v>
      </c>
      <c r="C9" s="8">
        <v>2.1603183986679246</v>
      </c>
      <c r="D9" s="8">
        <v>1.0621323529411766</v>
      </c>
      <c r="E9" s="8">
        <v>2.0477034176768196</v>
      </c>
      <c r="F9" s="8">
        <v>24</v>
      </c>
      <c r="G9" s="8">
        <v>4.7029744566201552</v>
      </c>
      <c r="H9" s="8">
        <v>4.6374999999999993</v>
      </c>
      <c r="I9" s="8">
        <v>1.597318041416085</v>
      </c>
      <c r="J9" s="4" t="s">
        <v>718</v>
      </c>
    </row>
    <row r="10" spans="1:1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33.950000000000003" customHeight="1">
      <c r="A11" s="1" t="s">
        <v>719</v>
      </c>
      <c r="B11" s="1" t="s">
        <v>720</v>
      </c>
      <c r="C11" s="1" t="s">
        <v>721</v>
      </c>
      <c r="D11" s="1" t="s">
        <v>722</v>
      </c>
      <c r="E11" s="1" t="s">
        <v>723</v>
      </c>
      <c r="F11" s="1" t="s">
        <v>724</v>
      </c>
      <c r="G11" s="1" t="s">
        <v>725</v>
      </c>
      <c r="H11" s="1" t="s">
        <v>726</v>
      </c>
      <c r="I11" s="4"/>
      <c r="J11" s="4"/>
    </row>
    <row r="12" spans="1:10" ht="26.45" customHeight="1">
      <c r="A12" s="4" t="s">
        <v>727</v>
      </c>
      <c r="B12" s="4">
        <v>24</v>
      </c>
      <c r="C12" s="9">
        <v>0.16666666666666666</v>
      </c>
      <c r="D12" s="4">
        <v>24</v>
      </c>
      <c r="E12" s="9">
        <v>0.5</v>
      </c>
      <c r="F12" s="9">
        <v>0.33333333333333337</v>
      </c>
      <c r="G12" s="4" t="s">
        <v>728</v>
      </c>
      <c r="H12" s="4" t="s">
        <v>729</v>
      </c>
      <c r="I12" s="4"/>
      <c r="J12" s="4"/>
    </row>
    <row r="13" spans="1:10" ht="26.45" customHeight="1">
      <c r="A13" s="4" t="s">
        <v>730</v>
      </c>
      <c r="B13" s="4">
        <v>24</v>
      </c>
      <c r="C13" s="9">
        <v>0</v>
      </c>
      <c r="D13" s="4">
        <v>24</v>
      </c>
      <c r="E13" s="9">
        <v>0.20833333333333334</v>
      </c>
      <c r="F13" s="9">
        <v>0.20833333333333334</v>
      </c>
      <c r="G13" s="4" t="s">
        <v>728</v>
      </c>
      <c r="H13" s="4" t="s">
        <v>729</v>
      </c>
      <c r="I13" s="4"/>
      <c r="J13" s="4"/>
    </row>
    <row r="14" spans="1:10" ht="26.45" customHeight="1">
      <c r="A14" s="4" t="s">
        <v>731</v>
      </c>
      <c r="B14" s="4">
        <v>24</v>
      </c>
      <c r="C14" s="9">
        <v>0.33333333333333331</v>
      </c>
      <c r="D14" s="4">
        <v>24</v>
      </c>
      <c r="E14" s="9">
        <v>0.58333333333333337</v>
      </c>
      <c r="F14" s="9">
        <v>0.25000000000000006</v>
      </c>
      <c r="G14" s="4" t="s">
        <v>728</v>
      </c>
      <c r="H14" s="4" t="s">
        <v>729</v>
      </c>
      <c r="I14" s="4"/>
      <c r="J14" s="4"/>
    </row>
    <row r="15" spans="1:10" ht="26.45" customHeight="1">
      <c r="A15" s="4" t="s">
        <v>732</v>
      </c>
      <c r="B15" s="4">
        <v>24</v>
      </c>
      <c r="C15" s="9">
        <v>0.5</v>
      </c>
      <c r="D15" s="4">
        <v>24</v>
      </c>
      <c r="E15" s="9">
        <v>1</v>
      </c>
      <c r="F15" s="9">
        <v>0.5</v>
      </c>
      <c r="G15" s="4" t="s">
        <v>728</v>
      </c>
      <c r="H15" s="4" t="s">
        <v>729</v>
      </c>
      <c r="I15" s="4"/>
      <c r="J15" s="4"/>
    </row>
    <row r="16" spans="1:10" ht="26.45" customHeight="1">
      <c r="A16" s="4" t="s">
        <v>733</v>
      </c>
      <c r="B16" s="4">
        <v>24</v>
      </c>
      <c r="C16" s="9">
        <v>0.16666666666666666</v>
      </c>
      <c r="D16" s="4">
        <v>24</v>
      </c>
      <c r="E16" s="9">
        <v>0.33333333333333331</v>
      </c>
      <c r="F16" s="9">
        <v>0.16666666666666666</v>
      </c>
      <c r="G16" s="4" t="s">
        <v>728</v>
      </c>
      <c r="H16" s="4" t="s">
        <v>729</v>
      </c>
      <c r="I16" s="4"/>
      <c r="J16" s="4"/>
    </row>
    <row r="17" spans="1:10" ht="26.45" customHeight="1">
      <c r="A17" s="4" t="s">
        <v>734</v>
      </c>
      <c r="B17" s="4">
        <v>24</v>
      </c>
      <c r="C17" s="9">
        <v>0</v>
      </c>
      <c r="D17" s="4">
        <v>24</v>
      </c>
      <c r="E17" s="9">
        <v>0</v>
      </c>
      <c r="F17" s="9">
        <v>0</v>
      </c>
      <c r="G17" s="4" t="s">
        <v>728</v>
      </c>
      <c r="H17" s="4" t="s">
        <v>729</v>
      </c>
      <c r="I17" s="4"/>
      <c r="J17" s="4"/>
    </row>
    <row r="18" spans="1:10" ht="26.45" customHeight="1">
      <c r="A18" s="4" t="s">
        <v>735</v>
      </c>
      <c r="B18" s="4">
        <v>24</v>
      </c>
      <c r="C18" s="9">
        <v>0.29166666666666669</v>
      </c>
      <c r="D18" s="4">
        <v>24</v>
      </c>
      <c r="E18" s="9">
        <v>0.75</v>
      </c>
      <c r="F18" s="9">
        <v>0.45833333333333331</v>
      </c>
      <c r="G18" s="4" t="s">
        <v>728</v>
      </c>
      <c r="H18" s="4" t="s">
        <v>729</v>
      </c>
      <c r="I18" s="4"/>
      <c r="J18" s="4"/>
    </row>
    <row r="19" spans="1:10" ht="26.45" customHeight="1">
      <c r="A19" s="4" t="s">
        <v>736</v>
      </c>
      <c r="B19" s="4">
        <v>24</v>
      </c>
      <c r="C19" s="9">
        <v>0.5</v>
      </c>
      <c r="D19" s="4">
        <v>24</v>
      </c>
      <c r="E19" s="9">
        <v>0.91666666666666663</v>
      </c>
      <c r="F19" s="9">
        <v>0.41666666666666663</v>
      </c>
      <c r="G19" s="4" t="s">
        <v>728</v>
      </c>
      <c r="H19" s="4" t="s">
        <v>729</v>
      </c>
      <c r="I19" s="4"/>
      <c r="J19" s="4"/>
    </row>
    <row r="20" spans="1:10" ht="26.45" customHeight="1">
      <c r="A20" s="4" t="s">
        <v>737</v>
      </c>
      <c r="B20" s="4">
        <v>24</v>
      </c>
      <c r="C20" s="9">
        <v>0.33333333333333331</v>
      </c>
      <c r="D20" s="4">
        <v>24</v>
      </c>
      <c r="E20" s="9">
        <v>0.83333333333333337</v>
      </c>
      <c r="F20" s="9">
        <v>0.5</v>
      </c>
      <c r="G20" s="4" t="s">
        <v>728</v>
      </c>
      <c r="H20" s="4" t="s">
        <v>729</v>
      </c>
      <c r="I20" s="4"/>
      <c r="J20" s="4"/>
    </row>
    <row r="21" spans="1:10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33.950000000000003" customHeight="1">
      <c r="A23" s="1" t="s">
        <v>738</v>
      </c>
      <c r="B23" s="1" t="s">
        <v>739</v>
      </c>
      <c r="C23" s="1" t="s">
        <v>740</v>
      </c>
      <c r="D23" s="1" t="s">
        <v>741</v>
      </c>
      <c r="E23" s="1" t="s">
        <v>742</v>
      </c>
      <c r="F23" s="4"/>
      <c r="G23" s="4"/>
      <c r="H23" s="4"/>
      <c r="I23" s="4"/>
      <c r="J23" s="4"/>
    </row>
    <row r="24" spans="1:10" ht="39.6" customHeight="1">
      <c r="A24" s="4" t="s">
        <v>556</v>
      </c>
      <c r="B24" s="4" t="s">
        <v>743</v>
      </c>
      <c r="C24" s="4">
        <v>48</v>
      </c>
      <c r="D24" s="10">
        <v>0.75820712368856302</v>
      </c>
      <c r="E24" s="4" t="s">
        <v>744</v>
      </c>
      <c r="F24" s="4"/>
      <c r="G24" s="4"/>
      <c r="H24" s="4"/>
      <c r="I24" s="4"/>
      <c r="J24" s="4"/>
    </row>
    <row r="25" spans="1:10" ht="39.6" customHeight="1">
      <c r="A25" s="4" t="s">
        <v>556</v>
      </c>
      <c r="B25" s="4" t="s">
        <v>745</v>
      </c>
      <c r="C25" s="4">
        <v>24</v>
      </c>
      <c r="D25" s="10">
        <v>0.81626199161890267</v>
      </c>
      <c r="E25" s="4" t="s">
        <v>744</v>
      </c>
      <c r="F25" s="4"/>
      <c r="G25" s="4"/>
      <c r="H25" s="4"/>
      <c r="I25" s="4"/>
      <c r="J25" s="4"/>
    </row>
    <row r="26" spans="1:10" ht="39.6" customHeight="1">
      <c r="A26" s="4" t="s">
        <v>556</v>
      </c>
      <c r="B26" s="4" t="s">
        <v>624</v>
      </c>
      <c r="C26" s="4">
        <v>24</v>
      </c>
      <c r="D26" s="10">
        <v>0.44153158620995203</v>
      </c>
      <c r="E26" s="4" t="s">
        <v>744</v>
      </c>
      <c r="F26" s="4"/>
      <c r="G26" s="4"/>
      <c r="H26" s="4"/>
      <c r="I26" s="4"/>
      <c r="J26" s="4"/>
    </row>
    <row r="27" spans="1:10" ht="39.6" customHeight="1">
      <c r="A27" s="4" t="s">
        <v>546</v>
      </c>
      <c r="B27" s="4" t="s">
        <v>743</v>
      </c>
      <c r="C27" s="4">
        <v>48</v>
      </c>
      <c r="D27" s="10">
        <v>0.83279357792571918</v>
      </c>
      <c r="E27" s="4" t="s">
        <v>744</v>
      </c>
      <c r="F27" s="4"/>
      <c r="G27" s="4"/>
      <c r="H27" s="4"/>
      <c r="I27" s="4"/>
      <c r="J27" s="4"/>
    </row>
    <row r="28" spans="1:10" ht="39.6" customHeight="1">
      <c r="A28" s="4" t="s">
        <v>546</v>
      </c>
      <c r="B28" s="4" t="s">
        <v>745</v>
      </c>
      <c r="C28" s="4">
        <v>24</v>
      </c>
      <c r="D28" s="10">
        <v>0.83385383443057348</v>
      </c>
      <c r="E28" s="4" t="s">
        <v>744</v>
      </c>
      <c r="F28" s="4"/>
      <c r="G28" s="4"/>
      <c r="H28" s="4"/>
      <c r="I28" s="4"/>
      <c r="J28" s="4"/>
    </row>
    <row r="29" spans="1:10" ht="39.6" customHeight="1">
      <c r="A29" s="4" t="s">
        <v>546</v>
      </c>
      <c r="B29" s="4" t="s">
        <v>624</v>
      </c>
      <c r="C29" s="4">
        <v>24</v>
      </c>
      <c r="D29" s="10">
        <v>0.72720155603928316</v>
      </c>
      <c r="E29" s="4" t="s">
        <v>744</v>
      </c>
      <c r="F29" s="4"/>
      <c r="G29" s="4"/>
      <c r="H29" s="4"/>
      <c r="I29" s="4"/>
      <c r="J29" s="4"/>
    </row>
    <row r="30" spans="1:10" ht="39.6" customHeight="1">
      <c r="A30" s="4" t="s">
        <v>520</v>
      </c>
      <c r="B30" s="4" t="s">
        <v>743</v>
      </c>
      <c r="C30" s="4">
        <v>48</v>
      </c>
      <c r="D30" s="10">
        <v>0.71838585424494561</v>
      </c>
      <c r="E30" s="4" t="s">
        <v>744</v>
      </c>
      <c r="F30" s="4"/>
      <c r="G30" s="4"/>
      <c r="H30" s="4"/>
      <c r="I30" s="4"/>
      <c r="J30" s="4"/>
    </row>
    <row r="31" spans="1:10" ht="39.6" customHeight="1">
      <c r="A31" s="4" t="s">
        <v>520</v>
      </c>
      <c r="B31" s="4" t="s">
        <v>745</v>
      </c>
      <c r="C31" s="4">
        <v>24</v>
      </c>
      <c r="D31" s="10">
        <v>0.65201453885826011</v>
      </c>
      <c r="E31" s="4" t="s">
        <v>744</v>
      </c>
      <c r="F31" s="4"/>
      <c r="G31" s="4"/>
      <c r="H31" s="4"/>
      <c r="I31" s="4"/>
      <c r="J31" s="4"/>
    </row>
    <row r="32" spans="1:10" ht="39.6" customHeight="1">
      <c r="A32" s="4" t="s">
        <v>520</v>
      </c>
      <c r="B32" s="4" t="s">
        <v>624</v>
      </c>
      <c r="C32" s="4">
        <v>24</v>
      </c>
      <c r="D32" s="10">
        <v>0.36510992028604133</v>
      </c>
      <c r="E32" s="4" t="s">
        <v>744</v>
      </c>
      <c r="F32" s="4"/>
      <c r="G32" s="4"/>
      <c r="H32" s="4"/>
      <c r="I32" s="4"/>
      <c r="J32" s="4"/>
    </row>
    <row r="33" spans="1:10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33.950000000000003" customHeight="1">
      <c r="A34" s="1" t="s">
        <v>746</v>
      </c>
      <c r="B34" s="1" t="s">
        <v>745</v>
      </c>
      <c r="C34" s="1" t="s">
        <v>624</v>
      </c>
      <c r="D34" s="1" t="s">
        <v>743</v>
      </c>
      <c r="E34" s="1" t="s">
        <v>747</v>
      </c>
      <c r="F34" s="1" t="s">
        <v>612</v>
      </c>
      <c r="G34" s="4"/>
      <c r="H34" s="4"/>
      <c r="I34" s="4"/>
      <c r="J34" s="4"/>
    </row>
    <row r="35" spans="1:10" ht="26.45" customHeight="1">
      <c r="A35" s="4" t="s">
        <v>748</v>
      </c>
      <c r="B35" s="4">
        <v>24</v>
      </c>
      <c r="C35" s="4">
        <v>24</v>
      </c>
      <c r="D35" s="4">
        <v>48</v>
      </c>
      <c r="E35" s="4" t="s">
        <v>749</v>
      </c>
      <c r="F35" s="4" t="s">
        <v>750</v>
      </c>
      <c r="G35" s="4"/>
      <c r="H35" s="4"/>
      <c r="I35" s="4"/>
      <c r="J35" s="4"/>
    </row>
    <row r="36" spans="1:10" ht="15" customHeight="1">
      <c r="A36" s="4" t="s">
        <v>751</v>
      </c>
      <c r="B36" s="4">
        <v>24</v>
      </c>
      <c r="C36" s="4">
        <v>24</v>
      </c>
      <c r="D36" s="4">
        <v>48</v>
      </c>
      <c r="E36" s="4" t="s">
        <v>752</v>
      </c>
      <c r="F36" s="4" t="s">
        <v>753</v>
      </c>
      <c r="G36" s="4"/>
      <c r="H36" s="4"/>
      <c r="I36" s="4"/>
      <c r="J36" s="4"/>
    </row>
    <row r="37" spans="1:10" ht="39.6" customHeight="1">
      <c r="A37" s="4" t="s">
        <v>754</v>
      </c>
      <c r="B37" s="4">
        <v>0</v>
      </c>
      <c r="C37" s="4">
        <v>19</v>
      </c>
      <c r="D37" s="4">
        <v>19</v>
      </c>
      <c r="E37" s="4" t="s">
        <v>755</v>
      </c>
      <c r="F37" s="4" t="s">
        <v>756</v>
      </c>
      <c r="G37" s="4"/>
      <c r="H37" s="4"/>
      <c r="I37" s="4"/>
      <c r="J37" s="4"/>
    </row>
    <row r="38" spans="1:10" ht="15" customHeight="1">
      <c r="A38" s="4" t="s">
        <v>757</v>
      </c>
      <c r="B38" s="8"/>
      <c r="C38" s="8">
        <v>6.310526315789474</v>
      </c>
      <c r="D38" s="8">
        <v>6.310526315789474</v>
      </c>
      <c r="E38" s="4" t="s">
        <v>758</v>
      </c>
      <c r="F38" s="4" t="s">
        <v>759</v>
      </c>
      <c r="G38" s="4"/>
      <c r="H38" s="4"/>
      <c r="I38" s="4"/>
      <c r="J38" s="4"/>
    </row>
  </sheetData>
  <mergeCells count="1">
    <mergeCell ref="A1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68" workbookViewId="0">
      <selection sqref="A1:Q2"/>
    </sheetView>
  </sheetViews>
  <sheetFormatPr baseColWidth="10" defaultColWidth="9" defaultRowHeight="14.25"/>
  <cols>
    <col min="1" max="1" width="35" customWidth="1"/>
    <col min="2" max="3" width="18" customWidth="1"/>
  </cols>
  <sheetData>
    <row r="1" spans="1:17" ht="32.1" customHeight="1">
      <c r="A1" s="12" t="s">
        <v>760</v>
      </c>
      <c r="B1" s="12" t="s">
        <v>760</v>
      </c>
      <c r="C1" s="12" t="s">
        <v>760</v>
      </c>
      <c r="D1" s="12" t="s">
        <v>760</v>
      </c>
      <c r="E1" s="12" t="s">
        <v>760</v>
      </c>
      <c r="F1" s="12" t="s">
        <v>760</v>
      </c>
      <c r="G1" s="12" t="s">
        <v>760</v>
      </c>
      <c r="H1" s="12" t="s">
        <v>760</v>
      </c>
      <c r="I1" s="12" t="s">
        <v>760</v>
      </c>
      <c r="J1" s="12" t="s">
        <v>760</v>
      </c>
      <c r="K1" s="12" t="s">
        <v>760</v>
      </c>
      <c r="L1" s="12" t="s">
        <v>760</v>
      </c>
      <c r="M1" s="12" t="s">
        <v>760</v>
      </c>
      <c r="N1" s="12" t="s">
        <v>760</v>
      </c>
      <c r="O1" s="12" t="s">
        <v>760</v>
      </c>
      <c r="P1" s="12" t="s">
        <v>760</v>
      </c>
      <c r="Q1" s="12" t="s">
        <v>760</v>
      </c>
    </row>
    <row r="2" spans="1:17" ht="32.1" customHeight="1">
      <c r="A2" s="12" t="s">
        <v>760</v>
      </c>
      <c r="B2" s="12" t="s">
        <v>760</v>
      </c>
      <c r="C2" s="12" t="s">
        <v>760</v>
      </c>
      <c r="D2" s="12" t="s">
        <v>760</v>
      </c>
      <c r="E2" s="12" t="s">
        <v>760</v>
      </c>
      <c r="F2" s="12" t="s">
        <v>760</v>
      </c>
      <c r="G2" s="12" t="s">
        <v>760</v>
      </c>
      <c r="H2" s="12" t="s">
        <v>760</v>
      </c>
      <c r="I2" s="12" t="s">
        <v>760</v>
      </c>
      <c r="J2" s="12" t="s">
        <v>760</v>
      </c>
      <c r="K2" s="12" t="s">
        <v>760</v>
      </c>
      <c r="L2" s="12" t="s">
        <v>760</v>
      </c>
      <c r="M2" s="12" t="s">
        <v>760</v>
      </c>
      <c r="N2" s="12" t="s">
        <v>760</v>
      </c>
      <c r="O2" s="12" t="s">
        <v>760</v>
      </c>
      <c r="P2" s="12" t="s">
        <v>760</v>
      </c>
      <c r="Q2" s="12" t="s">
        <v>760</v>
      </c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3.950000000000003" customHeight="1">
      <c r="A4" s="1" t="s">
        <v>761</v>
      </c>
      <c r="B4" s="1" t="s">
        <v>745</v>
      </c>
      <c r="C4" s="1" t="s">
        <v>624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672</v>
      </c>
      <c r="B5" s="7">
        <v>3.5416666666666665</v>
      </c>
      <c r="C5" s="7">
        <v>7.239583333333333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556</v>
      </c>
      <c r="B6" s="7">
        <v>0.90277777777777779</v>
      </c>
      <c r="C6" s="7">
        <v>2.6388888888888888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546</v>
      </c>
      <c r="B7" s="7">
        <v>1</v>
      </c>
      <c r="C7" s="7">
        <v>2.8563422709250674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520</v>
      </c>
      <c r="B8" s="7">
        <v>3.196829150227257</v>
      </c>
      <c r="C8" s="7">
        <v>6.0770833333333334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691</v>
      </c>
      <c r="B9" s="7">
        <v>2.1603183986679246</v>
      </c>
      <c r="C9" s="7">
        <v>4.7029744566201552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33.950000000000003" customHeight="1">
      <c r="A21" s="1" t="s">
        <v>762</v>
      </c>
      <c r="B21" s="1" t="s">
        <v>745</v>
      </c>
      <c r="C21" s="1" t="s">
        <v>624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 t="s">
        <v>727</v>
      </c>
      <c r="B22" s="11">
        <v>0.16666666666666666</v>
      </c>
      <c r="C22" s="11">
        <v>0.5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 t="s">
        <v>730</v>
      </c>
      <c r="B23" s="11">
        <v>0</v>
      </c>
      <c r="C23" s="11">
        <v>0.20833333333333334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 t="s">
        <v>731</v>
      </c>
      <c r="B24" s="11">
        <v>0.33333333333333331</v>
      </c>
      <c r="C24" s="11">
        <v>0.58333333333333337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 t="s">
        <v>732</v>
      </c>
      <c r="B25" s="11">
        <v>0.5</v>
      </c>
      <c r="C25" s="11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 t="s">
        <v>733</v>
      </c>
      <c r="B26" s="11">
        <v>0.16666666666666666</v>
      </c>
      <c r="C26" s="11">
        <v>0.33333333333333331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 t="s">
        <v>734</v>
      </c>
      <c r="B27" s="11">
        <v>0</v>
      </c>
      <c r="C27" s="11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 t="s">
        <v>735</v>
      </c>
      <c r="B28" s="11">
        <v>0.29166666666666669</v>
      </c>
      <c r="C28" s="11">
        <v>0.75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 t="s">
        <v>736</v>
      </c>
      <c r="B29" s="11">
        <v>0.5</v>
      </c>
      <c r="C29" s="11">
        <v>0.91666666666666663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 t="s">
        <v>737</v>
      </c>
      <c r="B30" s="11">
        <v>0.33333333333333331</v>
      </c>
      <c r="C30" s="11">
        <v>0.83333333333333337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33.950000000000003" customHeight="1">
      <c r="A41" s="1" t="s">
        <v>729</v>
      </c>
      <c r="B41" s="1" t="s">
        <v>672</v>
      </c>
      <c r="C41" s="1" t="s">
        <v>520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 t="s">
        <v>85</v>
      </c>
      <c r="B42" s="2">
        <v>7.5</v>
      </c>
      <c r="C42" s="2">
        <v>7.4833333333333334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 t="s">
        <v>96</v>
      </c>
      <c r="B43" s="2">
        <v>7.5</v>
      </c>
      <c r="C43" s="2">
        <v>7.25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 t="s">
        <v>101</v>
      </c>
      <c r="B44" s="2">
        <v>7.5</v>
      </c>
      <c r="C44" s="2">
        <v>6.6333333333333337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 t="s">
        <v>106</v>
      </c>
      <c r="B45" s="2">
        <v>5</v>
      </c>
      <c r="C45" s="2">
        <v>3.3333333333333335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 t="s">
        <v>111</v>
      </c>
      <c r="B46" s="2">
        <v>5</v>
      </c>
      <c r="C46" s="2">
        <v>1.7543859649122806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 t="s">
        <v>119</v>
      </c>
      <c r="B47" s="2">
        <v>2.5</v>
      </c>
      <c r="C47" s="2"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 t="s">
        <v>124</v>
      </c>
      <c r="B48" s="2">
        <v>5</v>
      </c>
      <c r="C48" s="2">
        <v>5.2833333333333332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 t="s">
        <v>132</v>
      </c>
      <c r="B49" s="2">
        <v>0.25</v>
      </c>
      <c r="C49" s="2">
        <v>1.9210526315789473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 t="s">
        <v>138</v>
      </c>
      <c r="B50" s="2">
        <v>0.5</v>
      </c>
      <c r="C50" s="2">
        <v>3.8137254901960786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 t="s">
        <v>143</v>
      </c>
      <c r="B51" s="2">
        <v>0</v>
      </c>
      <c r="C51" s="2">
        <v>4.4444444444444446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 t="s">
        <v>148</v>
      </c>
      <c r="B52" s="2">
        <v>7.75</v>
      </c>
      <c r="C52" s="2">
        <v>4.1999999999999993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 t="s">
        <v>158</v>
      </c>
      <c r="B53" s="2">
        <v>10</v>
      </c>
      <c r="C53" s="2">
        <v>5.2222222222222223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 t="s">
        <v>163</v>
      </c>
      <c r="B54" s="2">
        <v>9</v>
      </c>
      <c r="C54" s="2">
        <v>7.1833333333333336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 t="s">
        <v>169</v>
      </c>
      <c r="B55" s="2">
        <v>7.5</v>
      </c>
      <c r="C55" s="2">
        <v>6.1833333333333336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 t="s">
        <v>175</v>
      </c>
      <c r="B56" s="2">
        <v>0</v>
      </c>
      <c r="C56" s="2">
        <v>1.6333333333333333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 t="s">
        <v>182</v>
      </c>
      <c r="B57" s="2">
        <v>0</v>
      </c>
      <c r="C57" s="2">
        <v>0.13513513513513514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 t="s">
        <v>187</v>
      </c>
      <c r="B58" s="2">
        <v>0</v>
      </c>
      <c r="C58" s="2">
        <v>1.1833333333333333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 t="s">
        <v>193</v>
      </c>
      <c r="B59" s="2">
        <v>0</v>
      </c>
      <c r="C59" s="2">
        <v>8.3333333333333329E-2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 t="s">
        <v>200</v>
      </c>
      <c r="B60" s="2">
        <v>2.5</v>
      </c>
      <c r="C60" s="2">
        <v>0.65217391304347827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 t="s">
        <v>205</v>
      </c>
      <c r="B61" s="2">
        <v>2.5</v>
      </c>
      <c r="C61" s="2">
        <v>1.2166666666666668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 t="s">
        <v>213</v>
      </c>
      <c r="B62" s="2">
        <v>2.5</v>
      </c>
      <c r="C62" s="2">
        <v>1.3333333333333333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 t="s">
        <v>219</v>
      </c>
      <c r="B63" s="2">
        <v>0</v>
      </c>
      <c r="C63" s="2">
        <v>2.2745098039215685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 t="s">
        <v>227</v>
      </c>
      <c r="B64" s="2">
        <v>0</v>
      </c>
      <c r="C64" s="2">
        <v>1.8229166666666667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 t="s">
        <v>235</v>
      </c>
      <c r="B65" s="2">
        <v>2.5</v>
      </c>
      <c r="C65" s="2">
        <v>1.6833333333333333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 t="s">
        <v>242</v>
      </c>
      <c r="B66" s="2">
        <v>5</v>
      </c>
      <c r="C66" s="2">
        <v>7.4166666666666661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 t="s">
        <v>250</v>
      </c>
      <c r="B67" s="2">
        <v>9.5</v>
      </c>
      <c r="C67" s="2">
        <v>7.3666666666666663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 t="s">
        <v>256</v>
      </c>
      <c r="B68" s="2">
        <v>5.5</v>
      </c>
      <c r="C68" s="2">
        <v>4.7166666666666668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 t="s">
        <v>263</v>
      </c>
      <c r="B69" s="2">
        <v>5</v>
      </c>
      <c r="C69" s="2">
        <v>7.333333333333333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 t="s">
        <v>270</v>
      </c>
      <c r="B70" s="2">
        <v>7.5</v>
      </c>
      <c r="C70" s="2">
        <v>7.2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 t="s">
        <v>277</v>
      </c>
      <c r="B71" s="2">
        <v>10</v>
      </c>
      <c r="C71" s="2">
        <v>8.0666666666666664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 t="s">
        <v>284</v>
      </c>
      <c r="B72" s="2">
        <v>10</v>
      </c>
      <c r="C72" s="2">
        <v>5.75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 t="s">
        <v>291</v>
      </c>
      <c r="B73" s="2">
        <v>7.5</v>
      </c>
      <c r="C73" s="2">
        <v>6.7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 t="s">
        <v>298</v>
      </c>
      <c r="B74" s="2">
        <v>5</v>
      </c>
      <c r="C74" s="2">
        <v>6.1166666666666663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 t="s">
        <v>306</v>
      </c>
      <c r="B75" s="2">
        <v>10</v>
      </c>
      <c r="C75" s="2">
        <v>6.416666666666667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 t="s">
        <v>313</v>
      </c>
      <c r="B76" s="2">
        <v>7.5</v>
      </c>
      <c r="C76" s="2">
        <v>6.7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 t="s">
        <v>319</v>
      </c>
      <c r="B77" s="2">
        <v>7.5</v>
      </c>
      <c r="C77" s="2">
        <v>5.9666666666666668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 t="s">
        <v>325</v>
      </c>
      <c r="B78" s="2">
        <v>10</v>
      </c>
      <c r="C78" s="2">
        <v>6.75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 t="s">
        <v>331</v>
      </c>
      <c r="B79" s="2">
        <v>2.5</v>
      </c>
      <c r="C79" s="2">
        <v>1.3166666666666667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 t="s">
        <v>338</v>
      </c>
      <c r="B80" s="2">
        <v>7.5</v>
      </c>
      <c r="C80" s="2">
        <v>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 t="s">
        <v>345</v>
      </c>
      <c r="B81" s="2">
        <v>10</v>
      </c>
      <c r="C81" s="2">
        <v>6.583333333333333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 t="s">
        <v>351</v>
      </c>
      <c r="B82" s="2">
        <v>6.75</v>
      </c>
      <c r="C82" s="2">
        <v>5.2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 t="s">
        <v>357</v>
      </c>
      <c r="B83" s="2">
        <v>10</v>
      </c>
      <c r="C83" s="2">
        <v>6.666666666666667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 t="s">
        <v>364</v>
      </c>
      <c r="B84" s="2">
        <v>7.5</v>
      </c>
      <c r="C84" s="2">
        <v>5.666666666666667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 t="s">
        <v>371</v>
      </c>
      <c r="B85" s="2">
        <v>7.5</v>
      </c>
      <c r="C85" s="2">
        <v>5.0333333333333332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 t="s">
        <v>378</v>
      </c>
      <c r="B86" s="2">
        <v>5</v>
      </c>
      <c r="C86" s="2">
        <v>5.1166666666666663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 t="s">
        <v>386</v>
      </c>
      <c r="B87" s="2">
        <v>10</v>
      </c>
      <c r="C87" s="2">
        <v>6.8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 t="s">
        <v>393</v>
      </c>
      <c r="B88" s="2">
        <v>7</v>
      </c>
      <c r="C88" s="2">
        <v>7.75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 t="s">
        <v>400</v>
      </c>
      <c r="B89" s="2">
        <v>0</v>
      </c>
      <c r="C89" s="2">
        <v>4.2166666666666668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</sheetData>
  <mergeCells count="1">
    <mergeCell ref="A1:Q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showGridLines="0" workbookViewId="0">
      <selection activeCell="B15" sqref="B15"/>
    </sheetView>
  </sheetViews>
  <sheetFormatPr baseColWidth="10" defaultColWidth="9" defaultRowHeight="14.25"/>
  <cols>
    <col min="1" max="1" width="8" customWidth="1"/>
    <col min="2" max="6" width="42" customWidth="1"/>
    <col min="7" max="7" width="14" customWidth="1"/>
  </cols>
  <sheetData>
    <row r="1" spans="1:7" ht="32.1" customHeight="1">
      <c r="A1" s="12" t="s">
        <v>763</v>
      </c>
      <c r="B1" s="12" t="s">
        <v>763</v>
      </c>
      <c r="C1" s="12" t="s">
        <v>763</v>
      </c>
      <c r="D1" s="12" t="s">
        <v>763</v>
      </c>
      <c r="E1" s="12" t="s">
        <v>763</v>
      </c>
      <c r="F1" s="12" t="s">
        <v>763</v>
      </c>
      <c r="G1" s="12" t="s">
        <v>763</v>
      </c>
    </row>
    <row r="2" spans="1:7" ht="32.1" customHeight="1">
      <c r="A2" s="12" t="s">
        <v>763</v>
      </c>
      <c r="B2" s="12" t="s">
        <v>763</v>
      </c>
      <c r="C2" s="12" t="s">
        <v>763</v>
      </c>
      <c r="D2" s="12" t="s">
        <v>763</v>
      </c>
      <c r="E2" s="12" t="s">
        <v>763</v>
      </c>
      <c r="F2" s="12" t="s">
        <v>763</v>
      </c>
      <c r="G2" s="12" t="s">
        <v>763</v>
      </c>
    </row>
    <row r="3" spans="1:7">
      <c r="A3" s="2"/>
      <c r="B3" s="2"/>
      <c r="C3" s="2"/>
      <c r="D3" s="2"/>
      <c r="E3" s="2"/>
      <c r="F3" s="2"/>
      <c r="G3" s="2"/>
    </row>
    <row r="4" spans="1:7" ht="33.950000000000003" customHeight="1">
      <c r="A4" s="1" t="s">
        <v>764</v>
      </c>
      <c r="B4" s="1" t="s">
        <v>765</v>
      </c>
      <c r="C4" s="1" t="s">
        <v>766</v>
      </c>
      <c r="D4" s="1" t="s">
        <v>767</v>
      </c>
      <c r="E4" s="1" t="s">
        <v>768</v>
      </c>
      <c r="F4" s="1" t="s">
        <v>769</v>
      </c>
      <c r="G4" s="1" t="s">
        <v>770</v>
      </c>
    </row>
    <row r="5" spans="1:7" ht="26.45" customHeight="1">
      <c r="A5" s="4">
        <v>1</v>
      </c>
      <c r="B5" s="4" t="s">
        <v>771</v>
      </c>
      <c r="C5" s="4" t="s">
        <v>772</v>
      </c>
      <c r="D5" s="4" t="s">
        <v>773</v>
      </c>
      <c r="E5" s="4" t="s">
        <v>774</v>
      </c>
      <c r="F5" s="4" t="s">
        <v>775</v>
      </c>
      <c r="G5" s="4" t="s">
        <v>776</v>
      </c>
    </row>
    <row r="6" spans="1:7" ht="15" customHeight="1">
      <c r="A6" s="4">
        <v>2</v>
      </c>
      <c r="B6" s="4" t="s">
        <v>777</v>
      </c>
      <c r="C6" s="4" t="s">
        <v>778</v>
      </c>
      <c r="D6" s="4" t="s">
        <v>779</v>
      </c>
      <c r="E6" s="4" t="s">
        <v>780</v>
      </c>
      <c r="F6" s="4" t="s">
        <v>781</v>
      </c>
      <c r="G6" s="4" t="s">
        <v>782</v>
      </c>
    </row>
    <row r="7" spans="1:7" ht="26.45" customHeight="1">
      <c r="A7" s="4">
        <v>3</v>
      </c>
      <c r="B7" s="4" t="s">
        <v>783</v>
      </c>
      <c r="C7" s="4" t="s">
        <v>784</v>
      </c>
      <c r="D7" s="4" t="s">
        <v>785</v>
      </c>
      <c r="E7" s="4" t="s">
        <v>786</v>
      </c>
      <c r="F7" s="4" t="s">
        <v>787</v>
      </c>
      <c r="G7" s="4" t="s">
        <v>776</v>
      </c>
    </row>
    <row r="8" spans="1:7" ht="26.45" customHeight="1">
      <c r="A8" s="4">
        <v>4</v>
      </c>
      <c r="B8" s="4" t="s">
        <v>788</v>
      </c>
      <c r="C8" s="4" t="s">
        <v>789</v>
      </c>
      <c r="D8" s="4" t="s">
        <v>790</v>
      </c>
      <c r="E8" s="4" t="s">
        <v>791</v>
      </c>
      <c r="F8" s="4" t="s">
        <v>792</v>
      </c>
      <c r="G8" s="4" t="s">
        <v>776</v>
      </c>
    </row>
    <row r="9" spans="1:7" ht="26.45" customHeight="1">
      <c r="A9" s="4">
        <v>5</v>
      </c>
      <c r="B9" s="4" t="s">
        <v>793</v>
      </c>
      <c r="C9" s="4" t="s">
        <v>794</v>
      </c>
      <c r="D9" s="4" t="s">
        <v>795</v>
      </c>
      <c r="E9" s="4" t="s">
        <v>796</v>
      </c>
      <c r="F9" s="4" t="s">
        <v>797</v>
      </c>
      <c r="G9" s="4" t="s">
        <v>776</v>
      </c>
    </row>
    <row r="10" spans="1:7" ht="26.45" customHeight="1">
      <c r="A10" s="4">
        <v>6</v>
      </c>
      <c r="B10" s="4" t="s">
        <v>798</v>
      </c>
      <c r="C10" s="4" t="s">
        <v>799</v>
      </c>
      <c r="D10" s="4" t="s">
        <v>800</v>
      </c>
      <c r="E10" s="4" t="s">
        <v>801</v>
      </c>
      <c r="F10" s="4" t="s">
        <v>802</v>
      </c>
      <c r="G10" s="4" t="s">
        <v>782</v>
      </c>
    </row>
    <row r="11" spans="1:7" ht="15" customHeight="1">
      <c r="A11" s="4">
        <v>7</v>
      </c>
      <c r="B11" s="4" t="s">
        <v>803</v>
      </c>
      <c r="C11" s="4" t="s">
        <v>804</v>
      </c>
      <c r="D11" s="4" t="s">
        <v>805</v>
      </c>
      <c r="E11" s="4" t="s">
        <v>806</v>
      </c>
      <c r="F11" s="4" t="s">
        <v>807</v>
      </c>
      <c r="G11" s="4" t="s">
        <v>776</v>
      </c>
    </row>
    <row r="12" spans="1:7" ht="26.45" customHeight="1">
      <c r="A12" s="4">
        <v>8</v>
      </c>
      <c r="B12" s="4" t="s">
        <v>808</v>
      </c>
      <c r="C12" s="4" t="s">
        <v>809</v>
      </c>
      <c r="D12" s="4" t="s">
        <v>810</v>
      </c>
      <c r="E12" s="4" t="s">
        <v>811</v>
      </c>
      <c r="F12" s="4" t="s">
        <v>812</v>
      </c>
      <c r="G12" s="4" t="s">
        <v>813</v>
      </c>
    </row>
    <row r="13" spans="1:7" ht="26.45" customHeight="1">
      <c r="A13" s="4">
        <v>9</v>
      </c>
      <c r="B13" s="4" t="s">
        <v>814</v>
      </c>
      <c r="C13" s="4" t="s">
        <v>815</v>
      </c>
      <c r="D13" s="4" t="s">
        <v>816</v>
      </c>
      <c r="E13" s="4" t="s">
        <v>817</v>
      </c>
      <c r="F13" s="4" t="s">
        <v>818</v>
      </c>
      <c r="G13" s="4" t="s">
        <v>782</v>
      </c>
    </row>
    <row r="14" spans="1:7" ht="26.45" customHeight="1">
      <c r="A14" s="4">
        <v>10</v>
      </c>
      <c r="B14" s="4" t="s">
        <v>819</v>
      </c>
      <c r="C14" s="4" t="s">
        <v>820</v>
      </c>
      <c r="D14" s="4" t="s">
        <v>821</v>
      </c>
      <c r="E14" s="4" t="s">
        <v>822</v>
      </c>
      <c r="F14" s="4" t="s">
        <v>823</v>
      </c>
      <c r="G14" s="4" t="s">
        <v>782</v>
      </c>
    </row>
    <row r="15" spans="1:7" ht="15" customHeight="1">
      <c r="A15" s="4">
        <v>11</v>
      </c>
      <c r="B15" s="4" t="s">
        <v>824</v>
      </c>
      <c r="C15" s="4" t="s">
        <v>825</v>
      </c>
      <c r="D15" s="4" t="s">
        <v>826</v>
      </c>
      <c r="E15" s="4" t="s">
        <v>827</v>
      </c>
      <c r="F15" s="4" t="s">
        <v>828</v>
      </c>
      <c r="G15" s="4" t="s">
        <v>776</v>
      </c>
    </row>
  </sheetData>
  <mergeCells count="1">
    <mergeCell ref="A1:G2"/>
  </mergeCells>
  <conditionalFormatting sqref="G5:G15">
    <cfRule type="containsText" dxfId="2" priority="1" operator="containsText" text="Crítica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showGridLines="0" workbookViewId="0"/>
  </sheetViews>
  <sheetFormatPr baseColWidth="10" defaultColWidth="9" defaultRowHeight="14.25"/>
  <cols>
    <col min="1" max="3" width="38" customWidth="1"/>
    <col min="4" max="5" width="48" customWidth="1"/>
    <col min="6" max="6" width="50" customWidth="1"/>
    <col min="7" max="8" width="48" customWidth="1"/>
    <col min="9" max="10" width="24" customWidth="1"/>
  </cols>
  <sheetData>
    <row r="1" spans="1:10" ht="32.1" customHeight="1">
      <c r="A1" s="12" t="s">
        <v>829</v>
      </c>
      <c r="B1" s="12" t="s">
        <v>829</v>
      </c>
      <c r="C1" s="12" t="s">
        <v>829</v>
      </c>
      <c r="D1" s="12" t="s">
        <v>829</v>
      </c>
      <c r="E1" s="12" t="s">
        <v>829</v>
      </c>
      <c r="F1" s="12" t="s">
        <v>829</v>
      </c>
      <c r="G1" s="12" t="s">
        <v>829</v>
      </c>
      <c r="H1" s="12" t="s">
        <v>829</v>
      </c>
      <c r="I1" s="12" t="s">
        <v>829</v>
      </c>
      <c r="J1" s="12" t="s">
        <v>829</v>
      </c>
    </row>
    <row r="2" spans="1:10" ht="32.1" customHeight="1">
      <c r="A2" s="12" t="s">
        <v>829</v>
      </c>
      <c r="B2" s="12" t="s">
        <v>829</v>
      </c>
      <c r="C2" s="12" t="s">
        <v>829</v>
      </c>
      <c r="D2" s="12" t="s">
        <v>829</v>
      </c>
      <c r="E2" s="12" t="s">
        <v>829</v>
      </c>
      <c r="F2" s="12" t="s">
        <v>829</v>
      </c>
      <c r="G2" s="12" t="s">
        <v>829</v>
      </c>
      <c r="H2" s="12" t="s">
        <v>829</v>
      </c>
      <c r="I2" s="12" t="s">
        <v>829</v>
      </c>
      <c r="J2" s="12" t="s">
        <v>829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33.950000000000003" customHeight="1">
      <c r="A4" s="1" t="s">
        <v>29</v>
      </c>
      <c r="B4" s="1" t="s">
        <v>32</v>
      </c>
      <c r="C4" s="1" t="s">
        <v>30</v>
      </c>
      <c r="D4" s="1" t="s">
        <v>35</v>
      </c>
      <c r="E4" s="1" t="s">
        <v>36</v>
      </c>
      <c r="F4" s="1" t="s">
        <v>37</v>
      </c>
      <c r="G4" s="1" t="s">
        <v>40</v>
      </c>
      <c r="H4" s="1" t="s">
        <v>41</v>
      </c>
      <c r="I4" s="1" t="s">
        <v>38</v>
      </c>
      <c r="J4" s="1" t="s">
        <v>830</v>
      </c>
    </row>
    <row r="5" spans="1:10" ht="25.5">
      <c r="A5" s="4">
        <v>1</v>
      </c>
      <c r="B5" s="4" t="s">
        <v>85</v>
      </c>
      <c r="C5" s="4" t="s">
        <v>84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92</v>
      </c>
      <c r="I5" s="4" t="s">
        <v>11</v>
      </c>
      <c r="J5" s="4" t="s">
        <v>831</v>
      </c>
    </row>
    <row r="6" spans="1:10" ht="25.5">
      <c r="A6" s="4">
        <v>2</v>
      </c>
      <c r="B6" s="4" t="s">
        <v>96</v>
      </c>
      <c r="C6" s="4" t="s">
        <v>84</v>
      </c>
      <c r="D6" s="4" t="s">
        <v>98</v>
      </c>
      <c r="E6" s="4" t="s">
        <v>89</v>
      </c>
      <c r="F6" s="4" t="s">
        <v>90</v>
      </c>
      <c r="G6" s="4" t="s">
        <v>99</v>
      </c>
      <c r="H6" s="4" t="s">
        <v>100</v>
      </c>
      <c r="I6" s="4" t="s">
        <v>11</v>
      </c>
      <c r="J6" s="4" t="s">
        <v>831</v>
      </c>
    </row>
    <row r="7" spans="1:10" ht="25.5">
      <c r="A7" s="4">
        <v>3</v>
      </c>
      <c r="B7" s="4" t="s">
        <v>101</v>
      </c>
      <c r="C7" s="4" t="s">
        <v>84</v>
      </c>
      <c r="D7" s="4" t="s">
        <v>103</v>
      </c>
      <c r="E7" s="4" t="s">
        <v>89</v>
      </c>
      <c r="F7" s="4" t="s">
        <v>90</v>
      </c>
      <c r="G7" s="4" t="s">
        <v>104</v>
      </c>
      <c r="H7" s="4" t="s">
        <v>105</v>
      </c>
      <c r="I7" s="4" t="s">
        <v>11</v>
      </c>
      <c r="J7" s="4" t="s">
        <v>831</v>
      </c>
    </row>
    <row r="8" spans="1:10" ht="25.5">
      <c r="A8" s="4">
        <v>4</v>
      </c>
      <c r="B8" s="4" t="s">
        <v>106</v>
      </c>
      <c r="C8" s="4" t="s">
        <v>84</v>
      </c>
      <c r="D8" s="4" t="s">
        <v>108</v>
      </c>
      <c r="E8" s="4" t="s">
        <v>89</v>
      </c>
      <c r="F8" s="4" t="s">
        <v>90</v>
      </c>
      <c r="G8" s="4" t="s">
        <v>109</v>
      </c>
      <c r="H8" s="4" t="s">
        <v>110</v>
      </c>
      <c r="I8" s="4" t="s">
        <v>11</v>
      </c>
      <c r="J8" s="4" t="s">
        <v>831</v>
      </c>
    </row>
    <row r="9" spans="1:10" ht="25.5">
      <c r="A9" s="4">
        <v>5</v>
      </c>
      <c r="B9" s="4" t="s">
        <v>111</v>
      </c>
      <c r="C9" s="4" t="s">
        <v>84</v>
      </c>
      <c r="D9" s="4" t="s">
        <v>114</v>
      </c>
      <c r="E9" s="4" t="s">
        <v>115</v>
      </c>
      <c r="F9" s="4" t="s">
        <v>90</v>
      </c>
      <c r="G9" s="4" t="s">
        <v>116</v>
      </c>
      <c r="H9" s="4" t="s">
        <v>117</v>
      </c>
      <c r="I9" s="4" t="s">
        <v>11</v>
      </c>
      <c r="J9" s="4" t="s">
        <v>831</v>
      </c>
    </row>
    <row r="10" spans="1:10" ht="25.5">
      <c r="A10" s="4">
        <v>6</v>
      </c>
      <c r="B10" s="4" t="s">
        <v>119</v>
      </c>
      <c r="C10" s="4" t="s">
        <v>84</v>
      </c>
      <c r="D10" s="4" t="s">
        <v>121</v>
      </c>
      <c r="E10" s="4" t="s">
        <v>115</v>
      </c>
      <c r="F10" s="4" t="s">
        <v>90</v>
      </c>
      <c r="G10" s="4" t="s">
        <v>122</v>
      </c>
      <c r="H10" s="4" t="s">
        <v>123</v>
      </c>
      <c r="I10" s="4" t="s">
        <v>11</v>
      </c>
      <c r="J10" s="4" t="s">
        <v>831</v>
      </c>
    </row>
    <row r="11" spans="1:10" ht="25.5">
      <c r="A11" s="4">
        <v>7</v>
      </c>
      <c r="B11" s="4" t="s">
        <v>124</v>
      </c>
      <c r="C11" s="4" t="s">
        <v>84</v>
      </c>
      <c r="D11" s="4" t="s">
        <v>127</v>
      </c>
      <c r="E11" s="4" t="s">
        <v>128</v>
      </c>
      <c r="F11" s="4" t="s">
        <v>129</v>
      </c>
      <c r="G11" s="4" t="s">
        <v>130</v>
      </c>
      <c r="H11" s="4" t="s">
        <v>131</v>
      </c>
      <c r="I11" s="4" t="s">
        <v>11</v>
      </c>
      <c r="J11" s="4" t="s">
        <v>831</v>
      </c>
    </row>
    <row r="12" spans="1:10" ht="25.5">
      <c r="A12" s="4">
        <v>8</v>
      </c>
      <c r="B12" s="4" t="s">
        <v>132</v>
      </c>
      <c r="C12" s="4" t="s">
        <v>84</v>
      </c>
      <c r="D12" s="4" t="s">
        <v>134</v>
      </c>
      <c r="E12" s="4" t="s">
        <v>128</v>
      </c>
      <c r="F12" s="4" t="s">
        <v>129</v>
      </c>
      <c r="G12" s="4" t="s">
        <v>135</v>
      </c>
      <c r="H12" s="4" t="s">
        <v>136</v>
      </c>
      <c r="I12" s="4" t="s">
        <v>11</v>
      </c>
      <c r="J12" s="4" t="s">
        <v>831</v>
      </c>
    </row>
    <row r="13" spans="1:10" ht="25.5">
      <c r="A13" s="4">
        <v>9</v>
      </c>
      <c r="B13" s="4" t="s">
        <v>138</v>
      </c>
      <c r="C13" s="4" t="s">
        <v>84</v>
      </c>
      <c r="D13" s="4" t="s">
        <v>140</v>
      </c>
      <c r="E13" s="4" t="s">
        <v>128</v>
      </c>
      <c r="F13" s="4" t="s">
        <v>129</v>
      </c>
      <c r="G13" s="4" t="s">
        <v>141</v>
      </c>
      <c r="H13" s="4" t="s">
        <v>142</v>
      </c>
      <c r="I13" s="4" t="s">
        <v>11</v>
      </c>
      <c r="J13" s="4" t="s">
        <v>831</v>
      </c>
    </row>
    <row r="14" spans="1:10" ht="25.5">
      <c r="A14" s="4">
        <v>10</v>
      </c>
      <c r="B14" s="4" t="s">
        <v>143</v>
      </c>
      <c r="C14" s="4" t="s">
        <v>84</v>
      </c>
      <c r="D14" s="4" t="s">
        <v>145</v>
      </c>
      <c r="E14" s="4" t="s">
        <v>128</v>
      </c>
      <c r="F14" s="4" t="s">
        <v>129</v>
      </c>
      <c r="G14" s="4" t="s">
        <v>146</v>
      </c>
      <c r="H14" s="4" t="s">
        <v>147</v>
      </c>
      <c r="I14" s="4" t="s">
        <v>11</v>
      </c>
      <c r="J14" s="4" t="s">
        <v>832</v>
      </c>
    </row>
    <row r="15" spans="1:10" ht="25.5">
      <c r="A15" s="4">
        <v>11</v>
      </c>
      <c r="B15" s="4" t="s">
        <v>148</v>
      </c>
      <c r="C15" s="4" t="s">
        <v>84</v>
      </c>
      <c r="D15" s="4" t="s">
        <v>151</v>
      </c>
      <c r="E15" s="4" t="s">
        <v>152</v>
      </c>
      <c r="F15" s="4" t="s">
        <v>153</v>
      </c>
      <c r="G15" s="4" t="s">
        <v>154</v>
      </c>
      <c r="H15" s="4" t="s">
        <v>155</v>
      </c>
      <c r="I15" s="4" t="s">
        <v>11</v>
      </c>
      <c r="J15" s="4" t="s">
        <v>831</v>
      </c>
    </row>
    <row r="16" spans="1:10" ht="25.5">
      <c r="A16" s="4">
        <v>12</v>
      </c>
      <c r="B16" s="4" t="s">
        <v>158</v>
      </c>
      <c r="C16" s="4" t="s">
        <v>84</v>
      </c>
      <c r="D16" s="4" t="s">
        <v>160</v>
      </c>
      <c r="E16" s="4" t="s">
        <v>152</v>
      </c>
      <c r="F16" s="4" t="s">
        <v>153</v>
      </c>
      <c r="G16" s="4" t="s">
        <v>161</v>
      </c>
      <c r="H16" s="4" t="s">
        <v>162</v>
      </c>
      <c r="I16" s="4" t="s">
        <v>11</v>
      </c>
      <c r="J16" s="4" t="s">
        <v>831</v>
      </c>
    </row>
    <row r="17" spans="1:10" ht="25.5">
      <c r="A17" s="4">
        <v>13</v>
      </c>
      <c r="B17" s="4" t="s">
        <v>163</v>
      </c>
      <c r="C17" s="4" t="s">
        <v>84</v>
      </c>
      <c r="D17" s="4" t="s">
        <v>165</v>
      </c>
      <c r="E17" s="4" t="s">
        <v>152</v>
      </c>
      <c r="F17" s="4" t="s">
        <v>153</v>
      </c>
      <c r="G17" s="4" t="s">
        <v>166</v>
      </c>
      <c r="H17" s="4" t="s">
        <v>167</v>
      </c>
      <c r="I17" s="4" t="s">
        <v>11</v>
      </c>
      <c r="J17" s="4" t="s">
        <v>831</v>
      </c>
    </row>
    <row r="18" spans="1:10" ht="25.5">
      <c r="A18" s="4">
        <v>14</v>
      </c>
      <c r="B18" s="4" t="s">
        <v>169</v>
      </c>
      <c r="C18" s="4" t="s">
        <v>84</v>
      </c>
      <c r="D18" s="4" t="s">
        <v>171</v>
      </c>
      <c r="E18" s="4" t="s">
        <v>152</v>
      </c>
      <c r="F18" s="4" t="s">
        <v>153</v>
      </c>
      <c r="G18" s="4" t="s">
        <v>172</v>
      </c>
      <c r="H18" s="4" t="s">
        <v>173</v>
      </c>
      <c r="I18" s="4" t="s">
        <v>11</v>
      </c>
      <c r="J18" s="4" t="s">
        <v>831</v>
      </c>
    </row>
    <row r="19" spans="1:10" ht="25.5">
      <c r="A19" s="4">
        <v>15</v>
      </c>
      <c r="B19" s="4" t="s">
        <v>175</v>
      </c>
      <c r="C19" s="4" t="s">
        <v>84</v>
      </c>
      <c r="D19" s="4" t="s">
        <v>178</v>
      </c>
      <c r="E19" s="4" t="s">
        <v>179</v>
      </c>
      <c r="F19" s="4" t="s">
        <v>90</v>
      </c>
      <c r="G19" s="4" t="s">
        <v>180</v>
      </c>
      <c r="H19" s="4" t="s">
        <v>181</v>
      </c>
      <c r="I19" s="4" t="s">
        <v>11</v>
      </c>
      <c r="J19" s="4" t="s">
        <v>831</v>
      </c>
    </row>
    <row r="20" spans="1:10" ht="25.5">
      <c r="A20" s="4">
        <v>16</v>
      </c>
      <c r="B20" s="4" t="s">
        <v>182</v>
      </c>
      <c r="C20" s="4" t="s">
        <v>84</v>
      </c>
      <c r="D20" s="4" t="s">
        <v>184</v>
      </c>
      <c r="E20" s="4" t="s">
        <v>179</v>
      </c>
      <c r="F20" s="4" t="s">
        <v>90</v>
      </c>
      <c r="G20" s="4" t="s">
        <v>185</v>
      </c>
      <c r="H20" s="4" t="s">
        <v>186</v>
      </c>
      <c r="I20" s="4" t="s">
        <v>11</v>
      </c>
      <c r="J20" s="4" t="s">
        <v>831</v>
      </c>
    </row>
    <row r="21" spans="1:10" ht="25.5">
      <c r="A21" s="4">
        <v>17</v>
      </c>
      <c r="B21" s="4" t="s">
        <v>187</v>
      </c>
      <c r="C21" s="4" t="s">
        <v>84</v>
      </c>
      <c r="D21" s="4" t="s">
        <v>189</v>
      </c>
      <c r="E21" s="4" t="s">
        <v>179</v>
      </c>
      <c r="F21" s="4" t="s">
        <v>90</v>
      </c>
      <c r="G21" s="4" t="s">
        <v>190</v>
      </c>
      <c r="H21" s="4" t="s">
        <v>191</v>
      </c>
      <c r="I21" s="4" t="s">
        <v>11</v>
      </c>
      <c r="J21" s="4" t="s">
        <v>831</v>
      </c>
    </row>
    <row r="22" spans="1:10" ht="25.5">
      <c r="A22" s="4">
        <v>18</v>
      </c>
      <c r="B22" s="4" t="s">
        <v>193</v>
      </c>
      <c r="C22" s="4" t="s">
        <v>84</v>
      </c>
      <c r="D22" s="4" t="s">
        <v>196</v>
      </c>
      <c r="E22" s="4" t="s">
        <v>197</v>
      </c>
      <c r="F22" s="4" t="s">
        <v>90</v>
      </c>
      <c r="G22" s="4" t="s">
        <v>198</v>
      </c>
      <c r="H22" s="4" t="s">
        <v>199</v>
      </c>
      <c r="I22" s="4" t="s">
        <v>11</v>
      </c>
      <c r="J22" s="4" t="s">
        <v>831</v>
      </c>
    </row>
    <row r="23" spans="1:10" ht="25.5">
      <c r="A23" s="4">
        <v>19</v>
      </c>
      <c r="B23" s="4" t="s">
        <v>200</v>
      </c>
      <c r="C23" s="4" t="s">
        <v>84</v>
      </c>
      <c r="D23" s="4" t="s">
        <v>202</v>
      </c>
      <c r="E23" s="4" t="s">
        <v>197</v>
      </c>
      <c r="F23" s="4" t="s">
        <v>90</v>
      </c>
      <c r="G23" s="4" t="s">
        <v>203</v>
      </c>
      <c r="H23" s="4" t="s">
        <v>204</v>
      </c>
      <c r="I23" s="4" t="s">
        <v>11</v>
      </c>
      <c r="J23" s="4" t="s">
        <v>831</v>
      </c>
    </row>
    <row r="24" spans="1:10" ht="25.5">
      <c r="A24" s="4">
        <v>20</v>
      </c>
      <c r="B24" s="4" t="s">
        <v>205</v>
      </c>
      <c r="C24" s="4" t="s">
        <v>84</v>
      </c>
      <c r="D24" s="4" t="s">
        <v>208</v>
      </c>
      <c r="E24" s="4" t="s">
        <v>209</v>
      </c>
      <c r="F24" s="4" t="s">
        <v>90</v>
      </c>
      <c r="G24" s="4" t="s">
        <v>210</v>
      </c>
      <c r="H24" s="4" t="s">
        <v>211</v>
      </c>
      <c r="I24" s="4" t="s">
        <v>11</v>
      </c>
      <c r="J24" s="4" t="s">
        <v>831</v>
      </c>
    </row>
    <row r="25" spans="1:10" ht="25.5">
      <c r="A25" s="4">
        <v>21</v>
      </c>
      <c r="B25" s="4" t="s">
        <v>213</v>
      </c>
      <c r="C25" s="4" t="s">
        <v>84</v>
      </c>
      <c r="D25" s="4" t="s">
        <v>215</v>
      </c>
      <c r="E25" s="4" t="s">
        <v>209</v>
      </c>
      <c r="F25" s="4" t="s">
        <v>90</v>
      </c>
      <c r="G25" s="4" t="s">
        <v>216</v>
      </c>
      <c r="H25" s="4" t="s">
        <v>217</v>
      </c>
      <c r="I25" s="4" t="s">
        <v>11</v>
      </c>
      <c r="J25" s="4" t="s">
        <v>831</v>
      </c>
    </row>
    <row r="26" spans="1:10" ht="25.5">
      <c r="A26" s="4">
        <v>22</v>
      </c>
      <c r="B26" s="4" t="s">
        <v>219</v>
      </c>
      <c r="C26" s="4" t="s">
        <v>84</v>
      </c>
      <c r="D26" s="4" t="s">
        <v>222</v>
      </c>
      <c r="E26" s="4" t="s">
        <v>223</v>
      </c>
      <c r="F26" s="4" t="s">
        <v>90</v>
      </c>
      <c r="G26" s="4" t="s">
        <v>224</v>
      </c>
      <c r="H26" s="4" t="s">
        <v>225</v>
      </c>
      <c r="I26" s="4" t="s">
        <v>11</v>
      </c>
      <c r="J26" s="4" t="s">
        <v>831</v>
      </c>
    </row>
    <row r="27" spans="1:10" ht="25.5">
      <c r="A27" s="4">
        <v>23</v>
      </c>
      <c r="B27" s="4" t="s">
        <v>227</v>
      </c>
      <c r="C27" s="4" t="s">
        <v>84</v>
      </c>
      <c r="D27" s="4" t="s">
        <v>230</v>
      </c>
      <c r="E27" s="4" t="s">
        <v>231</v>
      </c>
      <c r="F27" s="4" t="s">
        <v>90</v>
      </c>
      <c r="G27" s="4" t="s">
        <v>232</v>
      </c>
      <c r="H27" s="4" t="s">
        <v>233</v>
      </c>
      <c r="I27" s="4" t="s">
        <v>11</v>
      </c>
      <c r="J27" s="4" t="s">
        <v>831</v>
      </c>
    </row>
    <row r="28" spans="1:10" ht="25.5">
      <c r="A28" s="4">
        <v>24</v>
      </c>
      <c r="B28" s="4" t="s">
        <v>235</v>
      </c>
      <c r="C28" s="4" t="s">
        <v>84</v>
      </c>
      <c r="D28" s="4" t="s">
        <v>237</v>
      </c>
      <c r="E28" s="4" t="s">
        <v>231</v>
      </c>
      <c r="F28" s="4" t="s">
        <v>90</v>
      </c>
      <c r="G28" s="4" t="s">
        <v>238</v>
      </c>
      <c r="H28" s="4" t="s">
        <v>239</v>
      </c>
      <c r="I28" s="4" t="s">
        <v>11</v>
      </c>
      <c r="J28" s="4" t="s">
        <v>831</v>
      </c>
    </row>
    <row r="29" spans="1:10" ht="25.5">
      <c r="A29" s="4">
        <v>25</v>
      </c>
      <c r="B29" s="4" t="s">
        <v>242</v>
      </c>
      <c r="C29" s="4" t="s">
        <v>240</v>
      </c>
      <c r="D29" s="4" t="s">
        <v>245</v>
      </c>
      <c r="E29" s="4" t="s">
        <v>246</v>
      </c>
      <c r="F29" s="4" t="s">
        <v>247</v>
      </c>
      <c r="G29" s="4" t="s">
        <v>248</v>
      </c>
      <c r="H29" s="4" t="s">
        <v>249</v>
      </c>
      <c r="I29" s="4" t="s">
        <v>11</v>
      </c>
      <c r="J29" s="4" t="s">
        <v>832</v>
      </c>
    </row>
    <row r="30" spans="1:10" ht="25.5">
      <c r="A30" s="4">
        <v>26</v>
      </c>
      <c r="B30" s="4" t="s">
        <v>250</v>
      </c>
      <c r="C30" s="4" t="s">
        <v>240</v>
      </c>
      <c r="D30" s="4" t="s">
        <v>252</v>
      </c>
      <c r="E30" s="4" t="s">
        <v>253</v>
      </c>
      <c r="F30" s="4" t="s">
        <v>247</v>
      </c>
      <c r="G30" s="4" t="s">
        <v>254</v>
      </c>
      <c r="H30" s="4" t="s">
        <v>255</v>
      </c>
      <c r="I30" s="4" t="s">
        <v>11</v>
      </c>
      <c r="J30" s="4" t="s">
        <v>833</v>
      </c>
    </row>
    <row r="31" spans="1:10" ht="25.5">
      <c r="A31" s="4">
        <v>27</v>
      </c>
      <c r="B31" s="4" t="s">
        <v>256</v>
      </c>
      <c r="C31" s="4" t="s">
        <v>240</v>
      </c>
      <c r="D31" s="4" t="s">
        <v>259</v>
      </c>
      <c r="E31" s="4" t="s">
        <v>260</v>
      </c>
      <c r="F31" s="4" t="s">
        <v>247</v>
      </c>
      <c r="G31" s="4" t="s">
        <v>261</v>
      </c>
      <c r="H31" s="4" t="s">
        <v>262</v>
      </c>
      <c r="I31" s="4" t="s">
        <v>11</v>
      </c>
      <c r="J31" s="4" t="s">
        <v>832</v>
      </c>
    </row>
    <row r="32" spans="1:10" ht="25.5">
      <c r="A32" s="4">
        <v>28</v>
      </c>
      <c r="B32" s="4" t="s">
        <v>263</v>
      </c>
      <c r="C32" s="4" t="s">
        <v>240</v>
      </c>
      <c r="D32" s="4" t="s">
        <v>266</v>
      </c>
      <c r="E32" s="4" t="s">
        <v>267</v>
      </c>
      <c r="F32" s="4" t="s">
        <v>247</v>
      </c>
      <c r="G32" s="4" t="s">
        <v>268</v>
      </c>
      <c r="H32" s="4" t="s">
        <v>269</v>
      </c>
      <c r="I32" s="4" t="s">
        <v>11</v>
      </c>
      <c r="J32" s="4" t="s">
        <v>833</v>
      </c>
    </row>
    <row r="33" spans="1:10" ht="25.5">
      <c r="A33" s="4">
        <v>29</v>
      </c>
      <c r="B33" s="4" t="s">
        <v>270</v>
      </c>
      <c r="C33" s="4" t="s">
        <v>240</v>
      </c>
      <c r="D33" s="4" t="s">
        <v>273</v>
      </c>
      <c r="E33" s="4" t="s">
        <v>274</v>
      </c>
      <c r="F33" s="4" t="s">
        <v>247</v>
      </c>
      <c r="G33" s="4" t="s">
        <v>275</v>
      </c>
      <c r="H33" s="4" t="s">
        <v>276</v>
      </c>
      <c r="I33" s="4" t="s">
        <v>11</v>
      </c>
      <c r="J33" s="4" t="s">
        <v>833</v>
      </c>
    </row>
    <row r="34" spans="1:10" ht="25.5">
      <c r="A34" s="4">
        <v>30</v>
      </c>
      <c r="B34" s="4" t="s">
        <v>277</v>
      </c>
      <c r="C34" s="4" t="s">
        <v>240</v>
      </c>
      <c r="D34" s="4" t="s">
        <v>280</v>
      </c>
      <c r="E34" s="4" t="s">
        <v>281</v>
      </c>
      <c r="F34" s="4" t="s">
        <v>247</v>
      </c>
      <c r="G34" s="4" t="s">
        <v>282</v>
      </c>
      <c r="H34" s="4" t="s">
        <v>283</v>
      </c>
      <c r="I34" s="4" t="s">
        <v>11</v>
      </c>
      <c r="J34" s="4" t="s">
        <v>833</v>
      </c>
    </row>
    <row r="35" spans="1:10" ht="25.5">
      <c r="A35" s="4">
        <v>31</v>
      </c>
      <c r="B35" s="4" t="s">
        <v>284</v>
      </c>
      <c r="C35" s="4" t="s">
        <v>240</v>
      </c>
      <c r="D35" s="4" t="s">
        <v>287</v>
      </c>
      <c r="E35" s="4" t="s">
        <v>288</v>
      </c>
      <c r="F35" s="4" t="s">
        <v>247</v>
      </c>
      <c r="G35" s="4" t="s">
        <v>289</v>
      </c>
      <c r="H35" s="4" t="s">
        <v>290</v>
      </c>
      <c r="I35" s="4" t="s">
        <v>11</v>
      </c>
      <c r="J35" s="4" t="s">
        <v>833</v>
      </c>
    </row>
    <row r="36" spans="1:10" ht="25.5">
      <c r="A36" s="4">
        <v>32</v>
      </c>
      <c r="B36" s="4" t="s">
        <v>291</v>
      </c>
      <c r="C36" s="4" t="s">
        <v>240</v>
      </c>
      <c r="D36" s="4" t="s">
        <v>294</v>
      </c>
      <c r="E36" s="4" t="s">
        <v>295</v>
      </c>
      <c r="F36" s="4" t="s">
        <v>247</v>
      </c>
      <c r="G36" s="4" t="s">
        <v>296</v>
      </c>
      <c r="H36" s="4" t="s">
        <v>297</v>
      </c>
      <c r="I36" s="4" t="s">
        <v>11</v>
      </c>
      <c r="J36" s="4" t="s">
        <v>833</v>
      </c>
    </row>
    <row r="37" spans="1:10" ht="25.5">
      <c r="A37" s="4">
        <v>33</v>
      </c>
      <c r="B37" s="4" t="s">
        <v>298</v>
      </c>
      <c r="C37" s="4" t="s">
        <v>240</v>
      </c>
      <c r="D37" s="4" t="s">
        <v>301</v>
      </c>
      <c r="E37" s="4" t="s">
        <v>302</v>
      </c>
      <c r="F37" s="4" t="s">
        <v>247</v>
      </c>
      <c r="G37" s="4" t="s">
        <v>303</v>
      </c>
      <c r="H37" s="4" t="s">
        <v>304</v>
      </c>
      <c r="I37" s="4" t="s">
        <v>11</v>
      </c>
      <c r="J37" s="4" t="s">
        <v>833</v>
      </c>
    </row>
    <row r="38" spans="1:10" ht="25.5">
      <c r="A38" s="4">
        <v>34</v>
      </c>
      <c r="B38" s="4" t="s">
        <v>306</v>
      </c>
      <c r="C38" s="4" t="s">
        <v>240</v>
      </c>
      <c r="D38" s="4" t="s">
        <v>309</v>
      </c>
      <c r="E38" s="4" t="s">
        <v>310</v>
      </c>
      <c r="F38" s="4" t="s">
        <v>247</v>
      </c>
      <c r="G38" s="4" t="s">
        <v>311</v>
      </c>
      <c r="H38" s="4" t="s">
        <v>312</v>
      </c>
      <c r="I38" s="4" t="s">
        <v>11</v>
      </c>
      <c r="J38" s="4" t="s">
        <v>833</v>
      </c>
    </row>
    <row r="39" spans="1:10" ht="25.5">
      <c r="A39" s="4">
        <v>35</v>
      </c>
      <c r="B39" s="4" t="s">
        <v>313</v>
      </c>
      <c r="C39" s="4" t="s">
        <v>240</v>
      </c>
      <c r="D39" s="4" t="s">
        <v>315</v>
      </c>
      <c r="E39" s="4" t="s">
        <v>316</v>
      </c>
      <c r="F39" s="4" t="s">
        <v>247</v>
      </c>
      <c r="G39" s="4" t="s">
        <v>317</v>
      </c>
      <c r="H39" s="4" t="s">
        <v>318</v>
      </c>
      <c r="I39" s="4" t="s">
        <v>11</v>
      </c>
      <c r="J39" s="4" t="s">
        <v>833</v>
      </c>
    </row>
    <row r="40" spans="1:10" ht="25.5">
      <c r="A40" s="4">
        <v>36</v>
      </c>
      <c r="B40" s="4" t="s">
        <v>319</v>
      </c>
      <c r="C40" s="4" t="s">
        <v>240</v>
      </c>
      <c r="D40" s="4" t="s">
        <v>321</v>
      </c>
      <c r="E40" s="4" t="s">
        <v>322</v>
      </c>
      <c r="F40" s="4" t="s">
        <v>247</v>
      </c>
      <c r="G40" s="4" t="s">
        <v>323</v>
      </c>
      <c r="H40" s="4" t="s">
        <v>324</v>
      </c>
      <c r="I40" s="4" t="s">
        <v>11</v>
      </c>
      <c r="J40" s="4" t="s">
        <v>831</v>
      </c>
    </row>
    <row r="41" spans="1:10" ht="25.5">
      <c r="A41" s="4">
        <v>37</v>
      </c>
      <c r="B41" s="4" t="s">
        <v>325</v>
      </c>
      <c r="C41" s="4" t="s">
        <v>240</v>
      </c>
      <c r="D41" s="4" t="s">
        <v>327</v>
      </c>
      <c r="E41" s="4" t="s">
        <v>328</v>
      </c>
      <c r="F41" s="4" t="s">
        <v>247</v>
      </c>
      <c r="G41" s="4" t="s">
        <v>329</v>
      </c>
      <c r="H41" s="4" t="s">
        <v>330</v>
      </c>
      <c r="I41" s="4" t="s">
        <v>11</v>
      </c>
      <c r="J41" s="4" t="s">
        <v>833</v>
      </c>
    </row>
    <row r="42" spans="1:10" ht="25.5">
      <c r="A42" s="4">
        <v>38</v>
      </c>
      <c r="B42" s="4" t="s">
        <v>331</v>
      </c>
      <c r="C42" s="4" t="s">
        <v>240</v>
      </c>
      <c r="D42" s="4" t="s">
        <v>334</v>
      </c>
      <c r="E42" s="4" t="s">
        <v>335</v>
      </c>
      <c r="F42" s="4" t="s">
        <v>247</v>
      </c>
      <c r="G42" s="4" t="s">
        <v>336</v>
      </c>
      <c r="H42" s="4" t="s">
        <v>337</v>
      </c>
      <c r="I42" s="4" t="s">
        <v>11</v>
      </c>
      <c r="J42" s="4" t="s">
        <v>833</v>
      </c>
    </row>
    <row r="43" spans="1:10" ht="25.5">
      <c r="A43" s="4">
        <v>39</v>
      </c>
      <c r="B43" s="4" t="s">
        <v>338</v>
      </c>
      <c r="C43" s="4" t="s">
        <v>240</v>
      </c>
      <c r="D43" s="4" t="s">
        <v>341</v>
      </c>
      <c r="E43" s="4" t="s">
        <v>342</v>
      </c>
      <c r="F43" s="4" t="s">
        <v>247</v>
      </c>
      <c r="G43" s="4" t="s">
        <v>343</v>
      </c>
      <c r="H43" s="4" t="s">
        <v>344</v>
      </c>
      <c r="I43" s="4" t="s">
        <v>11</v>
      </c>
      <c r="J43" s="4" t="s">
        <v>833</v>
      </c>
    </row>
    <row r="44" spans="1:10" ht="25.5">
      <c r="A44" s="4">
        <v>40</v>
      </c>
      <c r="B44" s="4" t="s">
        <v>345</v>
      </c>
      <c r="C44" s="4" t="s">
        <v>240</v>
      </c>
      <c r="D44" s="4" t="s">
        <v>347</v>
      </c>
      <c r="E44" s="4" t="s">
        <v>348</v>
      </c>
      <c r="F44" s="4" t="s">
        <v>247</v>
      </c>
      <c r="G44" s="4" t="s">
        <v>349</v>
      </c>
      <c r="H44" s="4" t="s">
        <v>350</v>
      </c>
      <c r="I44" s="4" t="s">
        <v>11</v>
      </c>
      <c r="J44" s="4" t="s">
        <v>833</v>
      </c>
    </row>
    <row r="45" spans="1:10" ht="25.5">
      <c r="A45" s="4">
        <v>41</v>
      </c>
      <c r="B45" s="4" t="s">
        <v>351</v>
      </c>
      <c r="C45" s="4" t="s">
        <v>240</v>
      </c>
      <c r="D45" s="4" t="s">
        <v>353</v>
      </c>
      <c r="E45" s="4" t="s">
        <v>354</v>
      </c>
      <c r="F45" s="4" t="s">
        <v>247</v>
      </c>
      <c r="G45" s="4" t="s">
        <v>355</v>
      </c>
      <c r="H45" s="4" t="s">
        <v>356</v>
      </c>
      <c r="I45" s="4" t="s">
        <v>11</v>
      </c>
      <c r="J45" s="4" t="s">
        <v>833</v>
      </c>
    </row>
    <row r="46" spans="1:10" ht="25.5">
      <c r="A46" s="4">
        <v>42</v>
      </c>
      <c r="B46" s="4" t="s">
        <v>357</v>
      </c>
      <c r="C46" s="4" t="s">
        <v>240</v>
      </c>
      <c r="D46" s="4" t="s">
        <v>360</v>
      </c>
      <c r="E46" s="4" t="s">
        <v>361</v>
      </c>
      <c r="F46" s="4" t="s">
        <v>247</v>
      </c>
      <c r="G46" s="4" t="s">
        <v>362</v>
      </c>
      <c r="H46" s="4" t="s">
        <v>363</v>
      </c>
      <c r="I46" s="4" t="s">
        <v>11</v>
      </c>
      <c r="J46" s="4" t="s">
        <v>833</v>
      </c>
    </row>
    <row r="47" spans="1:10" ht="25.5">
      <c r="A47" s="4">
        <v>43</v>
      </c>
      <c r="B47" s="4" t="s">
        <v>364</v>
      </c>
      <c r="C47" s="4" t="s">
        <v>240</v>
      </c>
      <c r="D47" s="4" t="s">
        <v>367</v>
      </c>
      <c r="E47" s="4" t="s">
        <v>368</v>
      </c>
      <c r="F47" s="4" t="s">
        <v>247</v>
      </c>
      <c r="G47" s="4" t="s">
        <v>369</v>
      </c>
      <c r="H47" s="4" t="s">
        <v>370</v>
      </c>
      <c r="I47" s="4" t="s">
        <v>11</v>
      </c>
      <c r="J47" s="4" t="s">
        <v>831</v>
      </c>
    </row>
    <row r="48" spans="1:10" ht="25.5">
      <c r="A48" s="4">
        <v>44</v>
      </c>
      <c r="B48" s="4" t="s">
        <v>371</v>
      </c>
      <c r="C48" s="4" t="s">
        <v>240</v>
      </c>
      <c r="D48" s="4" t="s">
        <v>374</v>
      </c>
      <c r="E48" s="4" t="s">
        <v>375</v>
      </c>
      <c r="F48" s="4" t="s">
        <v>247</v>
      </c>
      <c r="G48" s="4" t="s">
        <v>376</v>
      </c>
      <c r="H48" s="4" t="s">
        <v>377</v>
      </c>
      <c r="I48" s="4" t="s">
        <v>11</v>
      </c>
      <c r="J48" s="4" t="s">
        <v>833</v>
      </c>
    </row>
    <row r="49" spans="1:10" ht="25.5">
      <c r="A49" s="4">
        <v>45</v>
      </c>
      <c r="B49" s="4" t="s">
        <v>378</v>
      </c>
      <c r="C49" s="4" t="s">
        <v>240</v>
      </c>
      <c r="D49" s="4" t="s">
        <v>381</v>
      </c>
      <c r="E49" s="4" t="s">
        <v>382</v>
      </c>
      <c r="F49" s="4" t="s">
        <v>247</v>
      </c>
      <c r="G49" s="4" t="s">
        <v>383</v>
      </c>
      <c r="H49" s="4" t="s">
        <v>384</v>
      </c>
      <c r="I49" s="4" t="s">
        <v>11</v>
      </c>
      <c r="J49" s="4" t="s">
        <v>833</v>
      </c>
    </row>
    <row r="50" spans="1:10" ht="25.5">
      <c r="A50" s="4">
        <v>46</v>
      </c>
      <c r="B50" s="4" t="s">
        <v>386</v>
      </c>
      <c r="C50" s="4" t="s">
        <v>240</v>
      </c>
      <c r="D50" s="4" t="s">
        <v>389</v>
      </c>
      <c r="E50" s="4" t="s">
        <v>390</v>
      </c>
      <c r="F50" s="4" t="s">
        <v>247</v>
      </c>
      <c r="G50" s="4" t="s">
        <v>391</v>
      </c>
      <c r="H50" s="4" t="s">
        <v>392</v>
      </c>
      <c r="I50" s="4" t="s">
        <v>11</v>
      </c>
      <c r="J50" s="4" t="s">
        <v>833</v>
      </c>
    </row>
    <row r="51" spans="1:10" ht="25.5">
      <c r="A51" s="4">
        <v>47</v>
      </c>
      <c r="B51" s="4" t="s">
        <v>393</v>
      </c>
      <c r="C51" s="4" t="s">
        <v>240</v>
      </c>
      <c r="D51" s="4" t="s">
        <v>396</v>
      </c>
      <c r="E51" s="4" t="s">
        <v>397</v>
      </c>
      <c r="F51" s="4" t="s">
        <v>247</v>
      </c>
      <c r="G51" s="4" t="s">
        <v>398</v>
      </c>
      <c r="H51" s="4" t="s">
        <v>399</v>
      </c>
      <c r="I51" s="4" t="s">
        <v>11</v>
      </c>
      <c r="J51" s="4" t="s">
        <v>833</v>
      </c>
    </row>
    <row r="52" spans="1:10" ht="25.5">
      <c r="A52" s="4">
        <v>48</v>
      </c>
      <c r="B52" s="4" t="s">
        <v>400</v>
      </c>
      <c r="C52" s="4" t="s">
        <v>240</v>
      </c>
      <c r="D52" s="4" t="s">
        <v>403</v>
      </c>
      <c r="E52" s="4" t="s">
        <v>404</v>
      </c>
      <c r="F52" s="4" t="s">
        <v>247</v>
      </c>
      <c r="G52" s="4" t="s">
        <v>405</v>
      </c>
      <c r="H52" s="4" t="s">
        <v>406</v>
      </c>
      <c r="I52" s="4" t="s">
        <v>11</v>
      </c>
      <c r="J52" s="4" t="s">
        <v>831</v>
      </c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33.950000000000003" customHeight="1">
      <c r="A55" s="1" t="s">
        <v>834</v>
      </c>
      <c r="B55" s="1" t="s">
        <v>522</v>
      </c>
      <c r="C55" s="1" t="s">
        <v>670</v>
      </c>
      <c r="D55" s="2"/>
      <c r="E55" s="2"/>
      <c r="F55" s="2"/>
      <c r="G55" s="2"/>
      <c r="H55" s="2"/>
      <c r="I55" s="2"/>
      <c r="J55" s="2"/>
    </row>
    <row r="56" spans="1:10" ht="25.5">
      <c r="A56" s="4" t="s">
        <v>835</v>
      </c>
      <c r="B56" s="4" t="s">
        <v>635</v>
      </c>
      <c r="C56" s="4" t="s">
        <v>630</v>
      </c>
      <c r="D56" s="2"/>
      <c r="E56" s="2"/>
      <c r="F56" s="2"/>
      <c r="G56" s="2"/>
      <c r="H56" s="2"/>
      <c r="I56" s="2"/>
      <c r="J56" s="2"/>
    </row>
    <row r="57" spans="1:10">
      <c r="A57" s="4" t="s">
        <v>836</v>
      </c>
      <c r="B57" s="4" t="s">
        <v>641</v>
      </c>
      <c r="C57" s="4" t="s">
        <v>837</v>
      </c>
      <c r="D57" s="2"/>
      <c r="E57" s="2"/>
      <c r="F57" s="2"/>
      <c r="G57" s="2"/>
      <c r="H57" s="2"/>
      <c r="I57" s="2"/>
      <c r="J57" s="2"/>
    </row>
    <row r="58" spans="1:10">
      <c r="A58" s="4" t="s">
        <v>838</v>
      </c>
      <c r="B58" s="4" t="s">
        <v>647</v>
      </c>
      <c r="C58" s="4" t="s">
        <v>839</v>
      </c>
      <c r="D58" s="2"/>
      <c r="E58" s="2"/>
      <c r="F58" s="2"/>
      <c r="G58" s="2"/>
      <c r="H58" s="2"/>
      <c r="I58" s="2"/>
      <c r="J58" s="2"/>
    </row>
    <row r="59" spans="1:10">
      <c r="A59" s="4" t="s">
        <v>840</v>
      </c>
      <c r="B59" s="4" t="s">
        <v>652</v>
      </c>
      <c r="C59" s="4" t="s">
        <v>841</v>
      </c>
      <c r="D59" s="2"/>
      <c r="E59" s="2"/>
      <c r="F59" s="2"/>
      <c r="G59" s="2"/>
      <c r="H59" s="2"/>
      <c r="I59" s="2"/>
      <c r="J59" s="2"/>
    </row>
    <row r="60" spans="1:10" ht="25.5">
      <c r="A60" s="4" t="s">
        <v>842</v>
      </c>
      <c r="B60" s="4" t="s">
        <v>658</v>
      </c>
      <c r="C60" s="4" t="s">
        <v>843</v>
      </c>
      <c r="D60" s="2"/>
      <c r="E60" s="2"/>
      <c r="F60" s="2"/>
      <c r="G60" s="2"/>
      <c r="H60" s="2"/>
      <c r="I60" s="2"/>
      <c r="J60" s="2"/>
    </row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/>
  </sheetViews>
  <sheetFormatPr baseColWidth="10" defaultColWidth="9" defaultRowHeight="14.25"/>
  <cols>
    <col min="1" max="1" width="25" customWidth="1"/>
    <col min="2" max="2" width="28" customWidth="1"/>
    <col min="3" max="7" width="32" customWidth="1"/>
  </cols>
  <sheetData>
    <row r="1" spans="1:7" ht="32.1" customHeight="1">
      <c r="A1" s="12" t="s">
        <v>844</v>
      </c>
      <c r="B1" s="12" t="s">
        <v>844</v>
      </c>
      <c r="C1" s="12" t="s">
        <v>844</v>
      </c>
      <c r="D1" s="12" t="s">
        <v>844</v>
      </c>
      <c r="E1" s="12" t="s">
        <v>844</v>
      </c>
      <c r="F1" s="12" t="s">
        <v>844</v>
      </c>
      <c r="G1" s="12" t="s">
        <v>844</v>
      </c>
    </row>
    <row r="2" spans="1:7" ht="32.1" customHeight="1">
      <c r="A2" s="12" t="s">
        <v>844</v>
      </c>
      <c r="B2" s="12" t="s">
        <v>844</v>
      </c>
      <c r="C2" s="12" t="s">
        <v>844</v>
      </c>
      <c r="D2" s="12" t="s">
        <v>844</v>
      </c>
      <c r="E2" s="12" t="s">
        <v>844</v>
      </c>
      <c r="F2" s="12" t="s">
        <v>844</v>
      </c>
      <c r="G2" s="12" t="s">
        <v>844</v>
      </c>
    </row>
    <row r="3" spans="1:7">
      <c r="A3" s="2"/>
      <c r="B3" s="2"/>
      <c r="C3" s="2"/>
      <c r="D3" s="2"/>
      <c r="E3" s="2"/>
      <c r="F3" s="2"/>
      <c r="G3" s="2"/>
    </row>
    <row r="4" spans="1:7" ht="33.950000000000003" customHeight="1">
      <c r="A4" s="1" t="s">
        <v>762</v>
      </c>
      <c r="B4" s="1" t="s">
        <v>845</v>
      </c>
      <c r="C4" s="1" t="s">
        <v>846</v>
      </c>
      <c r="D4" s="1" t="s">
        <v>847</v>
      </c>
      <c r="E4" s="1" t="s">
        <v>848</v>
      </c>
      <c r="F4" s="1" t="s">
        <v>849</v>
      </c>
      <c r="G4" s="1" t="s">
        <v>850</v>
      </c>
    </row>
    <row r="5" spans="1:7" ht="15" customHeight="1">
      <c r="A5" s="2" t="s">
        <v>851</v>
      </c>
      <c r="B5" s="2">
        <v>48</v>
      </c>
      <c r="C5" s="2">
        <v>48</v>
      </c>
      <c r="D5" s="2" t="s">
        <v>852</v>
      </c>
      <c r="E5" s="2" t="s">
        <v>544</v>
      </c>
      <c r="F5" s="2" t="s">
        <v>6</v>
      </c>
      <c r="G5" s="2" t="s">
        <v>853</v>
      </c>
    </row>
    <row r="6" spans="1:7" ht="15" customHeight="1">
      <c r="A6" s="2" t="s">
        <v>854</v>
      </c>
      <c r="B6" s="2">
        <v>24</v>
      </c>
      <c r="C6" s="2">
        <v>24</v>
      </c>
      <c r="D6" s="2" t="s">
        <v>852</v>
      </c>
      <c r="E6" s="2" t="s">
        <v>544</v>
      </c>
      <c r="F6" s="2" t="s">
        <v>6</v>
      </c>
      <c r="G6" s="2" t="s">
        <v>855</v>
      </c>
    </row>
    <row r="7" spans="1:7" ht="15" customHeight="1">
      <c r="A7" s="2" t="s">
        <v>624</v>
      </c>
      <c r="B7" s="2">
        <v>24</v>
      </c>
      <c r="C7" s="2">
        <v>24</v>
      </c>
      <c r="D7" s="2" t="s">
        <v>852</v>
      </c>
      <c r="E7" s="2" t="s">
        <v>544</v>
      </c>
      <c r="F7" s="2" t="s">
        <v>6</v>
      </c>
      <c r="G7" s="2" t="s">
        <v>855</v>
      </c>
    </row>
    <row r="8" spans="1:7" ht="15" customHeight="1">
      <c r="A8" s="2" t="s">
        <v>856</v>
      </c>
      <c r="B8" s="2">
        <v>48</v>
      </c>
      <c r="C8" s="2">
        <v>48</v>
      </c>
      <c r="D8" s="2" t="s">
        <v>852</v>
      </c>
      <c r="E8" s="2" t="s">
        <v>857</v>
      </c>
      <c r="F8" s="2" t="s">
        <v>748</v>
      </c>
      <c r="G8" s="2" t="s">
        <v>858</v>
      </c>
    </row>
    <row r="9" spans="1:7" ht="15" customHeight="1">
      <c r="A9" s="2" t="s">
        <v>859</v>
      </c>
      <c r="B9" s="2">
        <v>48</v>
      </c>
      <c r="C9" s="2">
        <v>48</v>
      </c>
      <c r="D9" s="2" t="s">
        <v>852</v>
      </c>
      <c r="E9" s="2" t="s">
        <v>860</v>
      </c>
      <c r="F9" s="2" t="s">
        <v>518</v>
      </c>
      <c r="G9" s="2" t="s">
        <v>861</v>
      </c>
    </row>
    <row r="10" spans="1:7" ht="15" customHeight="1">
      <c r="A10" s="2" t="s">
        <v>862</v>
      </c>
      <c r="B10" s="2">
        <v>48</v>
      </c>
      <c r="C10" s="2">
        <v>48</v>
      </c>
      <c r="D10" s="2" t="s">
        <v>852</v>
      </c>
      <c r="E10" s="2" t="s">
        <v>863</v>
      </c>
      <c r="F10" s="2" t="s">
        <v>864</v>
      </c>
      <c r="G10" s="2" t="s">
        <v>865</v>
      </c>
    </row>
    <row r="11" spans="1:7" ht="15" customHeight="1">
      <c r="A11" s="2" t="s">
        <v>866</v>
      </c>
      <c r="B11" s="2">
        <v>48</v>
      </c>
      <c r="C11" s="2">
        <v>48</v>
      </c>
      <c r="D11" s="2" t="s">
        <v>852</v>
      </c>
      <c r="E11" s="2" t="s">
        <v>867</v>
      </c>
      <c r="F11" s="2" t="s">
        <v>659</v>
      </c>
      <c r="G11" s="2" t="s">
        <v>868</v>
      </c>
    </row>
    <row r="12" spans="1:7" ht="15" customHeight="1">
      <c r="A12" s="2" t="s">
        <v>20</v>
      </c>
      <c r="B12" s="2">
        <v>19</v>
      </c>
      <c r="C12" s="2">
        <v>48</v>
      </c>
      <c r="D12" s="2" t="s">
        <v>869</v>
      </c>
      <c r="E12" s="2" t="s">
        <v>746</v>
      </c>
      <c r="F12" s="2" t="s">
        <v>600</v>
      </c>
      <c r="G12" s="2" t="s">
        <v>759</v>
      </c>
    </row>
    <row r="13" spans="1:7" ht="15" customHeight="1">
      <c r="A13" s="2" t="s">
        <v>870</v>
      </c>
      <c r="B13" s="2">
        <v>0</v>
      </c>
      <c r="C13" s="2">
        <v>0</v>
      </c>
      <c r="D13" s="2" t="s">
        <v>852</v>
      </c>
      <c r="E13" s="2" t="s">
        <v>22</v>
      </c>
      <c r="F13" s="2" t="s">
        <v>871</v>
      </c>
      <c r="G13" s="2" t="s">
        <v>872</v>
      </c>
    </row>
    <row r="14" spans="1:7" ht="15" customHeight="1">
      <c r="A14" s="2" t="s">
        <v>10</v>
      </c>
      <c r="B14" s="2" t="s">
        <v>11</v>
      </c>
      <c r="C14" s="2" t="s">
        <v>873</v>
      </c>
      <c r="D14" s="2" t="s">
        <v>852</v>
      </c>
      <c r="E14" s="2" t="s">
        <v>520</v>
      </c>
      <c r="F14" s="2" t="s">
        <v>871</v>
      </c>
      <c r="G14" s="2" t="s">
        <v>874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33.950000000000003" customHeight="1">
      <c r="A17" s="1" t="s">
        <v>875</v>
      </c>
      <c r="B17" s="1" t="s">
        <v>876</v>
      </c>
      <c r="C17" s="1" t="s">
        <v>877</v>
      </c>
      <c r="D17" s="1" t="s">
        <v>878</v>
      </c>
      <c r="E17" s="1" t="s">
        <v>616</v>
      </c>
      <c r="F17" s="1" t="s">
        <v>879</v>
      </c>
      <c r="G17" s="1" t="s">
        <v>762</v>
      </c>
    </row>
    <row r="18" spans="1:7" ht="15" customHeight="1">
      <c r="A18" s="4" t="s">
        <v>880</v>
      </c>
      <c r="B18" s="4">
        <v>100</v>
      </c>
      <c r="C18" s="4" t="s">
        <v>881</v>
      </c>
      <c r="D18" s="4" t="s">
        <v>882</v>
      </c>
      <c r="E18" s="4" t="s">
        <v>883</v>
      </c>
      <c r="F18" s="4" t="s">
        <v>884</v>
      </c>
      <c r="G18" s="4" t="s">
        <v>885</v>
      </c>
    </row>
    <row r="19" spans="1:7" ht="15" customHeight="1">
      <c r="A19" s="4" t="s">
        <v>886</v>
      </c>
      <c r="B19" s="4">
        <v>90</v>
      </c>
      <c r="C19" s="4" t="s">
        <v>887</v>
      </c>
      <c r="D19" s="4" t="s">
        <v>882</v>
      </c>
      <c r="E19" s="4" t="s">
        <v>888</v>
      </c>
      <c r="F19" s="4" t="s">
        <v>889</v>
      </c>
      <c r="G19" s="4" t="s">
        <v>890</v>
      </c>
    </row>
    <row r="20" spans="1:7" ht="15" customHeight="1">
      <c r="A20" s="4" t="s">
        <v>697</v>
      </c>
      <c r="B20" s="4">
        <v>2000</v>
      </c>
      <c r="C20" s="4" t="s">
        <v>891</v>
      </c>
      <c r="D20" s="4" t="s">
        <v>892</v>
      </c>
      <c r="E20" s="4" t="s">
        <v>893</v>
      </c>
      <c r="F20" s="4" t="s">
        <v>894</v>
      </c>
      <c r="G20" s="4" t="s">
        <v>895</v>
      </c>
    </row>
    <row r="21" spans="1:7" ht="15" customHeight="1">
      <c r="A21" s="4" t="s">
        <v>896</v>
      </c>
      <c r="B21" s="4" t="s">
        <v>585</v>
      </c>
      <c r="C21" s="4" t="s">
        <v>897</v>
      </c>
      <c r="D21" s="4" t="s">
        <v>898</v>
      </c>
      <c r="E21" s="4" t="s">
        <v>899</v>
      </c>
      <c r="F21" s="4" t="s">
        <v>900</v>
      </c>
      <c r="G21" s="4" t="s">
        <v>901</v>
      </c>
    </row>
    <row r="22" spans="1:7" ht="15" customHeight="1">
      <c r="A22" s="4" t="s">
        <v>902</v>
      </c>
      <c r="B22" s="4" t="s">
        <v>903</v>
      </c>
      <c r="C22" s="4" t="s">
        <v>904</v>
      </c>
      <c r="D22" s="4" t="s">
        <v>905</v>
      </c>
      <c r="E22" s="4" t="s">
        <v>906</v>
      </c>
      <c r="F22" s="4" t="s">
        <v>907</v>
      </c>
      <c r="G22" s="4" t="s">
        <v>908</v>
      </c>
    </row>
  </sheetData>
  <mergeCells count="1">
    <mergeCell ref="A1:G2"/>
  </mergeCells>
  <conditionalFormatting sqref="D5:D14">
    <cfRule type="containsText" dxfId="1" priority="1" operator="containsText" text="OK"/>
    <cfRule type="containsText" dxfId="0" priority="2" operator="containsText" text="REVISAR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LEEME</vt:lpstr>
      <vt:lpstr>Datos_repositorios</vt:lpstr>
      <vt:lpstr>OpenSSF_checks</vt:lpstr>
      <vt:lpstr>Diccionario</vt:lpstr>
      <vt:lpstr>Metodologia</vt:lpstr>
      <vt:lpstr>Analisis</vt:lpstr>
      <vt:lpstr>Graficos</vt:lpstr>
      <vt:lpstr>Limitaciones</vt:lpstr>
      <vt:lpstr>Trazabilidad</vt:lpstr>
      <vt:lpstr>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MELODY SILVA</cp:lastModifiedBy>
  <dcterms:modified xsi:type="dcterms:W3CDTF">2026-08-01T02:38:04Z</dcterms:modified>
</cp:coreProperties>
</file>